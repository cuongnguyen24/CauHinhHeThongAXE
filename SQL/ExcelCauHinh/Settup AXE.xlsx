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dmin\Desktop\ToolAXE\CauHinhHeThongAXE\SQL\ExcelCauHinh\"/>
    </mc:Choice>
  </mc:AlternateContent>
  <xr:revisionPtr revIDLastSave="0" documentId="13_ncr:1_{C883A351-5238-404B-8F78-EB2AA6382441}" xr6:coauthVersionLast="47" xr6:coauthVersionMax="47" xr10:uidLastSave="{00000000-0000-0000-0000-000000000000}"/>
  <bookViews>
    <workbookView xWindow="-108" yWindow="-108" windowWidth="23256" windowHeight="12456" activeTab="1" xr2:uid="{00000000-000D-0000-FFFF-FFFF00000000}"/>
  </bookViews>
  <sheets>
    <sheet name="Cài đặt IIS" sheetId="2" r:id="rId1"/>
    <sheet name="Cài đặt SQL" sheetId="3" r:id="rId2"/>
    <sheet name="Cài đặt service" sheetId="4" r:id="rId3"/>
    <sheet name="Thông tin AX-DMS" sheetId="1" state="hidden" r:id="rId4"/>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5" i="3" l="1"/>
  <c r="H32" i="2"/>
  <c r="C21" i="2"/>
  <c r="C22" i="2"/>
  <c r="C24" i="2"/>
  <c r="C20" i="2"/>
  <c r="C19" i="2"/>
  <c r="B15" i="2"/>
  <c r="A15" i="2"/>
  <c r="C23" i="2" l="1"/>
  <c r="G9" i="3" l="1"/>
  <c r="B16" i="3"/>
  <c r="B20" i="3" l="1"/>
  <c r="B19" i="3"/>
  <c r="B18" i="3"/>
  <c r="B17" i="3"/>
  <c r="D16" i="3"/>
  <c r="E16" i="3"/>
  <c r="G16" i="3" l="1"/>
  <c r="E17" i="3"/>
  <c r="E18" i="3"/>
  <c r="E19" i="3"/>
  <c r="E20" i="3"/>
  <c r="D17" i="3"/>
  <c r="D18" i="3"/>
  <c r="D19" i="3"/>
  <c r="D20" i="3"/>
  <c r="G18" i="3" l="1"/>
  <c r="G20" i="3"/>
  <c r="G19" i="3"/>
  <c r="G17" i="3"/>
  <c r="E15" i="3"/>
  <c r="D15" i="3"/>
  <c r="G15" i="3" s="1"/>
  <c r="G11" i="3"/>
  <c r="A11" i="2" l="1"/>
  <c r="H4" i="1"/>
  <c r="H18" i="1"/>
  <c r="H19" i="1"/>
  <c r="H20" i="1"/>
  <c r="H21" i="1"/>
  <c r="H22" i="1"/>
  <c r="H23" i="1"/>
  <c r="H24" i="1"/>
  <c r="H25" i="1"/>
  <c r="H26" i="1"/>
  <c r="H31" i="1"/>
  <c r="H32" i="1"/>
  <c r="H33" i="1"/>
  <c r="H34" i="1"/>
  <c r="H35" i="1"/>
  <c r="H36" i="1"/>
  <c r="H37" i="1"/>
  <c r="H38" i="1"/>
  <c r="H39" i="1"/>
  <c r="H30" i="1"/>
  <c r="H17" i="1"/>
  <c r="H5" i="1"/>
  <c r="H6" i="1"/>
  <c r="H7" i="1"/>
  <c r="H8" i="1"/>
  <c r="H9" i="1"/>
  <c r="H10" i="1"/>
  <c r="H11" i="1"/>
  <c r="H12" i="1"/>
  <c r="H13" i="1"/>
  <c r="A34" i="2" l="1"/>
  <c r="A37" i="2"/>
  <c r="A33" i="2"/>
  <c r="A35" i="2"/>
  <c r="A36" i="2"/>
  <c r="B21" i="2"/>
  <c r="H21" i="2" s="1"/>
  <c r="C28" i="2"/>
  <c r="C33" i="2"/>
  <c r="C36" i="2"/>
  <c r="C34" i="2"/>
  <c r="C35" i="2"/>
  <c r="C37" i="2"/>
  <c r="B22" i="2"/>
  <c r="H22" i="2" s="1"/>
  <c r="B23" i="2"/>
  <c r="H23" i="2" s="1"/>
  <c r="A28" i="2"/>
  <c r="H15" i="2"/>
  <c r="A32" i="2"/>
  <c r="C32" i="2"/>
  <c r="H11" i="2"/>
  <c r="B19" i="2"/>
  <c r="H19" i="2" s="1"/>
  <c r="B20" i="2"/>
  <c r="H20" i="2" s="1"/>
  <c r="B24" i="2"/>
  <c r="H24" i="2" s="1"/>
  <c r="F15" i="2"/>
  <c r="H27" i="1"/>
  <c r="H14" i="1"/>
  <c r="H34" i="2" l="1"/>
  <c r="H37" i="2"/>
  <c r="H38" i="2"/>
  <c r="H36" i="2"/>
  <c r="H33" i="2"/>
  <c r="H35" i="2"/>
  <c r="H28" i="2"/>
</calcChain>
</file>

<file path=xl/sharedStrings.xml><?xml version="1.0" encoding="utf-8"?>
<sst xmlns="http://schemas.openxmlformats.org/spreadsheetml/2006/main" count="225" uniqueCount="109">
  <si>
    <t>Thông tin chung</t>
  </si>
  <si>
    <t>Nội dung</t>
  </si>
  <si>
    <t>Giá trị cần nhập</t>
  </si>
  <si>
    <t>Ghi chú</t>
  </si>
  <si>
    <t>Tên Application chuẩn(theo dự án)</t>
  </si>
  <si>
    <t>Đường dẫn gốc chứa source</t>
  </si>
  <si>
    <t>Bắt buộc phải có dấu \ ở cuối</t>
  </si>
  <si>
    <t>Tên site chuẩn( theo dự án)</t>
  </si>
  <si>
    <t>Domain Web</t>
  </si>
  <si>
    <t>Phải tự cập nhật thủ cộng</t>
  </si>
  <si>
    <t>Đường dấn thư mục chứa file vật lý</t>
  </si>
  <si>
    <t>Đường dẫn CMD</t>
  </si>
  <si>
    <t>c:\Windows\system32\inetsrv\appcmd</t>
  </si>
  <si>
    <t>Tạo Application Pools</t>
  </si>
  <si>
    <t>Tên Application Pool</t>
  </si>
  <si>
    <t>.Net CLR Version</t>
  </si>
  <si>
    <t>Managed Pipeline Mode</t>
  </si>
  <si>
    <t>v4.0</t>
  </si>
  <si>
    <t>Integrated</t>
  </si>
  <si>
    <t>Tạo Website</t>
  </si>
  <si>
    <t>Tên Website/Application</t>
  </si>
  <si>
    <t>Physical Path</t>
  </si>
  <si>
    <t>Type</t>
  </si>
  <si>
    <t>Port</t>
  </si>
  <si>
    <t>Host</t>
  </si>
  <si>
    <t>http</t>
  </si>
  <si>
    <t>Tạo Application</t>
  </si>
  <si>
    <t>Tên Application</t>
  </si>
  <si>
    <t>Site Name</t>
  </si>
  <si>
    <t>Sử dụng</t>
  </si>
  <si>
    <t>Phân hệ</t>
  </si>
  <si>
    <t>login</t>
  </si>
  <si>
    <t>x</t>
  </si>
  <si>
    <t>Mặc định</t>
  </si>
  <si>
    <t>admin</t>
  </si>
  <si>
    <t>resumable</t>
  </si>
  <si>
    <t>uploader</t>
  </si>
  <si>
    <t>storage</t>
  </si>
  <si>
    <t>doc</t>
  </si>
  <si>
    <t>Kho lưu trữ, mượn trả</t>
  </si>
  <si>
    <t>Cập nhật lại ApplePool cho site</t>
  </si>
  <si>
    <t>Path</t>
  </si>
  <si>
    <t>Cập nhật lại ApplePool cho Application</t>
  </si>
  <si>
    <t>Application</t>
  </si>
  <si>
    <t>Đường dẫn gốc chứa file bak</t>
  </si>
  <si>
    <t>Đường dẫn gốc chứa database(mdf)</t>
  </si>
  <si>
    <t>Tên User mới</t>
  </si>
  <si>
    <t>dev</t>
  </si>
  <si>
    <t>Password</t>
  </si>
  <si>
    <t>Tạo User(trong trường hợp cần tạo user mới)</t>
  </si>
  <si>
    <t>User</t>
  </si>
  <si>
    <t>Tạo bảng tạm để chưa local name</t>
  </si>
  <si>
    <t>CREATE TABLE #FileList (LogicalName NVARCHAR(128),PhysicalName NVARCHAR(260),Type CHAR(1),FileGroupName NVARCHAR(128) NULL,Size BIGINT,MaxSize BIGINT,FileId BIGINT,CreateLSN NUMERIC(25,0),DropLSN NUMERIC(25,0) NULL,UniqueId UNIQUEIDENTIFIER,ReadOnlyLSN NUMERIC(25,0) NULL,ReadWriteLSN NUMERIC(25,0) NULL,BackupSizeInBytes BIGINT,SourceBlockSize INT,FileGroupId INT,LogGroupGUID UNIQUEIDENTIFIER NULL,DifferentialBaseLSN NUMERIC(25,0) NULL,DifferentialBaseGUID UNIQUEIDENTIFIER NULL,IsReadOnly BIT,IsPresent BIT,TDEThumbprint VARBINARY(32) NULL,SnapshotUrl NVARCHAR(360) NULL,PhysicalPath nvarchar(500));</t>
  </si>
  <si>
    <t>Restore database</t>
  </si>
  <si>
    <t>Tên database (bak)</t>
  </si>
  <si>
    <t>Tên database sau restore</t>
  </si>
  <si>
    <t>Path mdf</t>
  </si>
  <si>
    <t>Path ldf</t>
  </si>
  <si>
    <t>Tên Service OCR</t>
  </si>
  <si>
    <t>ServiceAXALogic</t>
  </si>
  <si>
    <t>sc create ServiceAXALogic binPath= "C:\Web\ServiceLogic\ServiceDocpro.exe" start= auto</t>
  </si>
  <si>
    <t>Đường dẫn gốc chứa app Service OCR</t>
  </si>
  <si>
    <t>C:\Web\ServiceLogic\ServiceDocpro.exe</t>
  </si>
  <si>
    <t>Tên Service Export</t>
  </si>
  <si>
    <t>ServiceAXASendmail</t>
  </si>
  <si>
    <t>sc create ServiceAXASendmail binPath= "C:\Web\ServiceSendmail\DocProServiceSendMail.exe" start= auto</t>
  </si>
  <si>
    <t>Đường dẫn gốc chứa app Service Export</t>
  </si>
  <si>
    <t>C:\Web\ServiceSendmail\DocProServiceSendMail.exe</t>
  </si>
  <si>
    <t>Script</t>
  </si>
  <si>
    <t>MMDS-ConfigAPI</t>
  </si>
  <si>
    <t>MMDS-File</t>
  </si>
  <si>
    <t>MMDS-Hangfire</t>
  </si>
  <si>
    <t>MMDS-Lgsp</t>
  </si>
  <si>
    <t>MMDS-Log</t>
  </si>
  <si>
    <t>MMDS-Mobile</t>
  </si>
  <si>
    <t>MMDS-Notify</t>
  </si>
  <si>
    <t>MMDS-OCR</t>
  </si>
  <si>
    <t>MMDS-Portal</t>
  </si>
  <si>
    <t>MMDS-Web</t>
  </si>
  <si>
    <t>"E:\SourceWeb\DAS-MMDS\ConfigAPI"</t>
  </si>
  <si>
    <t>"E:\SourceWeb\DAS-MMDS\File"</t>
  </si>
  <si>
    <t>"E:\SourceWeb\DAS-MMDS\Hangfire"</t>
  </si>
  <si>
    <t>"E:\SourceWeb\DAS-MMDS\Lgsp"</t>
  </si>
  <si>
    <t>"E:\SourceWeb\DAS-MMDS\Log"</t>
  </si>
  <si>
    <t>"E:\SourceWeb\DAS-MMDS\Mobile"</t>
  </si>
  <si>
    <t>"E:\SourceWeb\DAS-MMDS\Notify"</t>
  </si>
  <si>
    <t>"E:\SourceWeb\DAS-MMDS\OCR"</t>
  </si>
  <si>
    <t>"E:\SourceWeb\DAS-MMDS\Portal"</t>
  </si>
  <si>
    <t>"E:\SourceWeb\DAS-MMDS\Web"</t>
  </si>
  <si>
    <t>Tạo Application Pool cho Website/Application</t>
  </si>
  <si>
    <t>AXE_Test</t>
  </si>
  <si>
    <t>AXE_Test_</t>
  </si>
  <si>
    <t>E:\SourceCodeAXE\</t>
  </si>
  <si>
    <t>C:\Users\Admin\Desktop\Test</t>
  </si>
  <si>
    <t>http://localhost:1221</t>
  </si>
  <si>
    <t>C:\SoHoaThaiNguyen\Database\BackupSQL\</t>
  </si>
  <si>
    <t>C:\SoHoaThaiNguyen\Database\MDF</t>
  </si>
  <si>
    <t>AXE_2026_THAINGUYEN_ACC.bak</t>
  </si>
  <si>
    <t>AXE_2026_THAINGUYEN_CLOUD.bak</t>
  </si>
  <si>
    <t>AXE_2026_THAINGUYEN_CNF.bak</t>
  </si>
  <si>
    <t>AXE_2026_THAINGUYEN_LOG.bak</t>
  </si>
  <si>
    <t>AXE_2026_THAINGUYEN_MSG.bak</t>
  </si>
  <si>
    <t>AXE_2026_THAINGUYEN_STG.bak</t>
  </si>
  <si>
    <t>AXE_2026_THAINGUYEN_ACC</t>
  </si>
  <si>
    <t>AXE_2026_THAINGUYEN_CLOUD</t>
  </si>
  <si>
    <t>AXE_2026_THAINGUYEN_CNF</t>
  </si>
  <si>
    <t>AXE_2026_THAINGUYEN_LOG</t>
  </si>
  <si>
    <t>AXE_2026_THAINGUYEN_MSG</t>
  </si>
  <si>
    <t>AXE_2026_THAINGUYEN_STG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</si>
</sst>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theme="10"/>
      <name val="Calibri"/>
      <family val="2"/>
      <scheme val="minor"/>
    </font>
    <font>
      <b/>
      <sz val="11"/>
      <color theme="1"/>
      <name val="Calibri"/>
      <family val="2"/>
      <scheme val="minor"/>
    </font>
    <font>
      <b/>
      <sz val="11"/>
      <color rgb="FFFF0000"/>
      <name val="Calibri"/>
      <family val="2"/>
      <scheme val="minor"/>
    </font>
    <font>
      <sz val="11"/>
      <color theme="1"/>
      <name val="Times New Roman"/>
      <family val="1"/>
      <charset val="163"/>
    </font>
    <font>
      <b/>
      <sz val="11"/>
      <color rgb="FFFF0000"/>
      <name val="Times New Roman"/>
      <family val="1"/>
      <charset val="163"/>
    </font>
    <font>
      <b/>
      <sz val="11"/>
      <color theme="1"/>
      <name val="Times New Roman"/>
      <family val="1"/>
      <charset val="163"/>
    </font>
    <font>
      <u/>
      <sz val="11"/>
      <color theme="10"/>
      <name val="Times New Roman"/>
      <family val="1"/>
      <charset val="163"/>
    </font>
    <font>
      <sz val="11"/>
      <name val="Times New Roman"/>
      <family val="1"/>
      <charset val="163"/>
    </font>
    <font>
      <u/>
      <sz val="11"/>
      <color theme="1"/>
      <name val="Times New Roman"/>
      <family val="1"/>
      <charset val="163"/>
    </font>
  </fonts>
  <fills count="6">
    <fill>
      <patternFill patternType="none"/>
    </fill>
    <fill>
      <patternFill patternType="gray125"/>
    </fill>
    <fill>
      <patternFill patternType="solid">
        <fgColor theme="8" tint="0.79998168889431442"/>
        <bgColor indexed="64"/>
      </patternFill>
    </fill>
    <fill>
      <patternFill patternType="solid">
        <fgColor theme="7" tint="0.59999389629810485"/>
        <bgColor indexed="64"/>
      </patternFill>
    </fill>
    <fill>
      <patternFill patternType="solid">
        <fgColor rgb="FF92D050"/>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55">
    <xf numFmtId="0" fontId="0" fillId="0" borderId="0" xfId="0"/>
    <xf numFmtId="0" fontId="0" fillId="2" borderId="1" xfId="0" applyFill="1" applyBorder="1"/>
    <xf numFmtId="0" fontId="0" fillId="0" borderId="1" xfId="0" applyBorder="1"/>
    <xf numFmtId="0" fontId="0" fillId="3" borderId="1" xfId="0" applyFill="1" applyBorder="1" applyAlignment="1">
      <alignment horizontal="center" vertical="center"/>
    </xf>
    <xf numFmtId="0" fontId="0" fillId="3" borderId="0" xfId="0" applyFill="1"/>
    <xf numFmtId="0" fontId="2" fillId="0" borderId="1" xfId="0" applyFont="1" applyBorder="1"/>
    <xf numFmtId="0" fontId="3" fillId="0" borderId="1" xfId="0" applyFont="1" applyBorder="1"/>
    <xf numFmtId="0" fontId="0" fillId="4" borderId="1" xfId="0" applyFill="1" applyBorder="1"/>
    <xf numFmtId="0" fontId="0" fillId="2" borderId="1" xfId="0" applyFill="1" applyBorder="1" applyAlignment="1">
      <alignment wrapText="1"/>
    </xf>
    <xf numFmtId="0" fontId="0" fillId="0" borderId="1" xfId="0" applyBorder="1" applyAlignment="1">
      <alignment wrapText="1"/>
    </xf>
    <xf numFmtId="0" fontId="1" fillId="4" borderId="1" xfId="1" applyFill="1" applyBorder="1"/>
    <xf numFmtId="0" fontId="4" fillId="0" borderId="0" xfId="0" applyFont="1"/>
    <xf numFmtId="0" fontId="4" fillId="3" borderId="0" xfId="0" applyFont="1" applyFill="1"/>
    <xf numFmtId="0" fontId="4" fillId="2" borderId="1" xfId="0" applyFont="1" applyFill="1" applyBorder="1"/>
    <xf numFmtId="0" fontId="4" fillId="2" borderId="1" xfId="0" applyFont="1" applyFill="1" applyBorder="1" applyAlignment="1">
      <alignment wrapText="1"/>
    </xf>
    <xf numFmtId="0" fontId="5" fillId="0" borderId="1" xfId="0" applyFont="1" applyBorder="1"/>
    <xf numFmtId="0" fontId="4" fillId="4" borderId="1" xfId="0" applyFont="1" applyFill="1" applyBorder="1"/>
    <xf numFmtId="0" fontId="4" fillId="0" borderId="1" xfId="0" applyFont="1" applyBorder="1" applyAlignment="1">
      <alignment wrapText="1"/>
    </xf>
    <xf numFmtId="0" fontId="6" fillId="0" borderId="1" xfId="0" applyFont="1" applyBorder="1"/>
    <xf numFmtId="0" fontId="7" fillId="0" borderId="1" xfId="1" applyFont="1" applyBorder="1"/>
    <xf numFmtId="0" fontId="4" fillId="3" borderId="1" xfId="0" applyFont="1" applyFill="1" applyBorder="1" applyAlignment="1">
      <alignment horizontal="center" vertical="center"/>
    </xf>
    <xf numFmtId="0" fontId="4" fillId="0" borderId="1" xfId="0" applyFont="1" applyBorder="1"/>
    <xf numFmtId="0" fontId="4" fillId="5" borderId="1" xfId="0" applyFont="1" applyFill="1" applyBorder="1"/>
    <xf numFmtId="0" fontId="4" fillId="0" borderId="8" xfId="0" applyFont="1" applyBorder="1"/>
    <xf numFmtId="0" fontId="4" fillId="0" borderId="8" xfId="0" applyFont="1" applyBorder="1" applyAlignment="1">
      <alignment wrapText="1"/>
    </xf>
    <xf numFmtId="0" fontId="4" fillId="0" borderId="0" xfId="0" applyFont="1" applyAlignment="1">
      <alignment wrapText="1"/>
    </xf>
    <xf numFmtId="0" fontId="4" fillId="3" borderId="0" xfId="0" applyFont="1" applyFill="1" applyAlignment="1">
      <alignment horizontal="center" vertical="center"/>
    </xf>
    <xf numFmtId="0" fontId="4" fillId="2" borderId="1" xfId="0" applyFont="1" applyFill="1" applyBorder="1" applyAlignment="1">
      <alignment vertical="center"/>
    </xf>
    <xf numFmtId="0" fontId="8" fillId="4" borderId="1" xfId="0" applyFont="1" applyFill="1" applyBorder="1" applyAlignment="1">
      <alignment vertical="center"/>
    </xf>
    <xf numFmtId="0" fontId="4" fillId="4" borderId="1" xfId="0" applyFont="1" applyFill="1" applyBorder="1" applyAlignment="1">
      <alignment vertical="center"/>
    </xf>
    <xf numFmtId="0" fontId="4" fillId="0" borderId="1" xfId="0" applyFont="1" applyBorder="1" applyAlignment="1">
      <alignment vertical="center"/>
    </xf>
    <xf numFmtId="0" fontId="4" fillId="2" borderId="0" xfId="0" applyFont="1" applyFill="1"/>
    <xf numFmtId="0" fontId="9" fillId="4" borderId="1" xfId="1" applyFont="1" applyFill="1" applyBorder="1" applyAlignment="1">
      <alignment horizontal="left"/>
    </xf>
    <xf numFmtId="0" fontId="4" fillId="0" borderId="2" xfId="0" applyFont="1" applyBorder="1"/>
    <xf numFmtId="0" fontId="4" fillId="0" borderId="4" xfId="0" applyFont="1" applyBorder="1"/>
    <xf numFmtId="0" fontId="4" fillId="0" borderId="1" xfId="0" applyFont="1" applyBorder="1" applyAlignment="1">
      <alignment horizontal="left" vertical="center"/>
    </xf>
    <xf numFmtId="0" fontId="4" fillId="3" borderId="2"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1" xfId="0" applyFont="1" applyFill="1" applyBorder="1" applyAlignment="1">
      <alignment horizontal="center" vertical="center"/>
    </xf>
    <xf numFmtId="0" fontId="4" fillId="0" borderId="7" xfId="0" applyFont="1" applyBorder="1" applyAlignment="1">
      <alignment horizontal="left" vertical="top"/>
    </xf>
    <xf numFmtId="0" fontId="4" fillId="0" borderId="0" xfId="0" applyFont="1" applyAlignment="1">
      <alignment horizontal="left" vertical="top"/>
    </xf>
    <xf numFmtId="0" fontId="4" fillId="3" borderId="6" xfId="0" applyFont="1" applyFill="1" applyBorder="1" applyAlignment="1">
      <alignment horizontal="center" vertical="center"/>
    </xf>
    <xf numFmtId="0" fontId="4" fillId="3" borderId="0" xfId="0" applyFont="1" applyFill="1" applyAlignment="1">
      <alignment horizontal="center" vertical="center"/>
    </xf>
    <xf numFmtId="0" fontId="4" fillId="0" borderId="1" xfId="0" applyFont="1" applyBorder="1" applyAlignment="1">
      <alignment horizontal="left"/>
    </xf>
    <xf numFmtId="0" fontId="4" fillId="3" borderId="3" xfId="0" applyFont="1" applyFill="1" applyBorder="1" applyAlignment="1">
      <alignment horizontal="center" vertical="center"/>
    </xf>
    <xf numFmtId="0" fontId="4" fillId="0" borderId="2" xfId="0" applyFont="1" applyBorder="1" applyAlignment="1">
      <alignment horizontal="center"/>
    </xf>
    <xf numFmtId="0" fontId="4" fillId="0" borderId="4" xfId="0" applyFont="1" applyBorder="1" applyAlignment="1">
      <alignment horizontal="center"/>
    </xf>
    <xf numFmtId="0" fontId="4" fillId="0" borderId="3" xfId="0" applyFont="1" applyBorder="1" applyAlignment="1">
      <alignment horizontal="center"/>
    </xf>
    <xf numFmtId="0" fontId="4" fillId="0" borderId="5" xfId="0" applyFont="1" applyBorder="1" applyAlignment="1">
      <alignment horizontal="left" vertical="top"/>
    </xf>
    <xf numFmtId="0" fontId="4" fillId="0" borderId="1" xfId="0" applyFont="1" applyBorder="1" applyAlignment="1">
      <alignment horizontal="center"/>
    </xf>
    <xf numFmtId="0" fontId="4" fillId="2" borderId="1" xfId="0" applyFont="1" applyFill="1" applyBorder="1" applyAlignment="1">
      <alignment horizont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3" borderId="3" xfId="0" applyFill="1" applyBorder="1" applyAlignment="1">
      <alignment horizontal="center" vertical="center"/>
    </xf>
    <xf numFmtId="0" fontId="0" fillId="3" borderId="1"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file:///\\192.170.13.83\Publish\AXE" TargetMode="External"/><Relationship Id="rId1" Type="http://schemas.openxmlformats.org/officeDocument/2006/relationships/hyperlink" Target="http://localhost:1221/"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topLeftCell="B19" workbookViewId="0">
      <selection activeCell="B5" sqref="B5"/>
    </sheetView>
  </sheetViews>
  <sheetFormatPr defaultColWidth="8.88671875" defaultRowHeight="13.8" x14ac:dyDescent="0.25"/>
  <cols>
    <col min="1" max="1" width="34" style="11" bestFit="1" customWidth="1"/>
    <col min="2" max="2" width="49.44140625" style="11" bestFit="1" customWidth="1"/>
    <col min="3" max="3" width="26.109375" style="25" bestFit="1" customWidth="1"/>
    <col min="4" max="5" width="7.88671875" style="11" bestFit="1" customWidth="1"/>
    <col min="6" max="6" width="20.6640625" style="11" bestFit="1" customWidth="1"/>
    <col min="7" max="7" width="5.33203125" style="11" bestFit="1" customWidth="1"/>
    <col min="8" max="8" width="147" style="11" bestFit="1" customWidth="1"/>
    <col min="9" max="9" width="8.88671875" style="11"/>
    <col min="10" max="10" width="15" style="11" bestFit="1" customWidth="1"/>
    <col min="11" max="11" width="10.109375" style="11" bestFit="1" customWidth="1"/>
    <col min="12" max="12" width="36.44140625" style="11" bestFit="1" customWidth="1"/>
    <col min="13" max="13" width="19.44140625" style="11" bestFit="1" customWidth="1"/>
    <col min="14" max="16384" width="8.88671875" style="11"/>
  </cols>
  <sheetData>
    <row r="1" spans="1:10" x14ac:dyDescent="0.25">
      <c r="A1" s="38" t="s">
        <v>0</v>
      </c>
      <c r="B1" s="38"/>
      <c r="C1" s="38"/>
      <c r="G1" s="12"/>
      <c r="H1" s="38"/>
      <c r="I1" s="38"/>
      <c r="J1" s="38"/>
    </row>
    <row r="2" spans="1:10" x14ac:dyDescent="0.25">
      <c r="A2" s="13" t="s">
        <v>1</v>
      </c>
      <c r="B2" s="13" t="s">
        <v>2</v>
      </c>
      <c r="C2" s="14" t="s">
        <v>3</v>
      </c>
      <c r="G2" s="12"/>
      <c r="H2" s="39"/>
    </row>
    <row r="3" spans="1:10" x14ac:dyDescent="0.25">
      <c r="A3" s="15" t="s">
        <v>4</v>
      </c>
      <c r="B3" s="16" t="s">
        <v>90</v>
      </c>
      <c r="C3" s="17"/>
      <c r="G3" s="12"/>
      <c r="H3" s="40"/>
    </row>
    <row r="4" spans="1:10" x14ac:dyDescent="0.25">
      <c r="A4" s="15" t="s">
        <v>5</v>
      </c>
      <c r="B4" s="16" t="s">
        <v>92</v>
      </c>
      <c r="C4" s="17" t="s">
        <v>6</v>
      </c>
      <c r="G4" s="12"/>
      <c r="H4" s="40"/>
    </row>
    <row r="5" spans="1:10" x14ac:dyDescent="0.25">
      <c r="A5" s="15" t="s">
        <v>7</v>
      </c>
      <c r="B5" s="16" t="s">
        <v>91</v>
      </c>
      <c r="C5" s="17"/>
      <c r="G5" s="12"/>
      <c r="H5" s="40"/>
    </row>
    <row r="6" spans="1:10" ht="14.4" x14ac:dyDescent="0.3">
      <c r="A6" s="18" t="s">
        <v>8</v>
      </c>
      <c r="B6" s="10" t="s">
        <v>94</v>
      </c>
      <c r="C6" s="17" t="s">
        <v>9</v>
      </c>
      <c r="G6" s="12"/>
      <c r="H6" s="40"/>
    </row>
    <row r="7" spans="1:10" ht="14.4" x14ac:dyDescent="0.3">
      <c r="A7" s="18" t="s">
        <v>10</v>
      </c>
      <c r="B7" s="10" t="s">
        <v>93</v>
      </c>
      <c r="C7" s="17" t="s">
        <v>9</v>
      </c>
      <c r="G7" s="12"/>
      <c r="H7" s="40"/>
    </row>
    <row r="8" spans="1:10" x14ac:dyDescent="0.25">
      <c r="A8" s="18" t="s">
        <v>11</v>
      </c>
      <c r="B8" s="19" t="s">
        <v>12</v>
      </c>
      <c r="C8" s="17"/>
      <c r="G8" s="12"/>
      <c r="H8" s="48"/>
    </row>
    <row r="9" spans="1:10" x14ac:dyDescent="0.25">
      <c r="A9" s="41" t="s">
        <v>13</v>
      </c>
      <c r="B9" s="42"/>
      <c r="C9" s="42"/>
      <c r="D9" s="42"/>
      <c r="E9" s="42"/>
      <c r="F9" s="42"/>
      <c r="G9" s="12"/>
      <c r="H9" s="20"/>
    </row>
    <row r="10" spans="1:10" x14ac:dyDescent="0.25">
      <c r="A10" s="13" t="s">
        <v>14</v>
      </c>
      <c r="B10" s="13" t="s">
        <v>15</v>
      </c>
      <c r="C10" s="14" t="s">
        <v>16</v>
      </c>
      <c r="G10" s="12"/>
      <c r="H10" s="13"/>
    </row>
    <row r="11" spans="1:10" x14ac:dyDescent="0.25">
      <c r="A11" s="21" t="str">
        <f>B3&amp;"-Web"</f>
        <v>AXE_Test-Web</v>
      </c>
      <c r="B11" s="21" t="s">
        <v>17</v>
      </c>
      <c r="C11" s="17" t="s">
        <v>18</v>
      </c>
      <c r="G11" s="12"/>
      <c r="H11" s="21" t="str">
        <f>IF(A11="","",$B$8&amp;" add apppool /name:"&amp;A11&amp;" /managedRuntimeVersion:"&amp;B11&amp;" /managedPipelineMode:"&amp;C11&amp;"")</f>
        <v>c:\Windows\system32\inetsrv\appcmd add apppool /name:AXE_Test-Web /managedRuntimeVersion:v4.0 /managedPipelineMode:Integrated</v>
      </c>
    </row>
    <row r="12" spans="1:10" x14ac:dyDescent="0.25">
      <c r="A12" s="21"/>
      <c r="B12" s="21"/>
      <c r="C12" s="17"/>
      <c r="G12" s="12"/>
      <c r="H12" s="21"/>
    </row>
    <row r="13" spans="1:10" x14ac:dyDescent="0.25">
      <c r="A13" s="36" t="s">
        <v>19</v>
      </c>
      <c r="B13" s="37"/>
      <c r="C13" s="37"/>
      <c r="D13" s="37"/>
      <c r="E13" s="37"/>
      <c r="F13" s="44"/>
      <c r="G13" s="12"/>
      <c r="H13" s="13"/>
    </row>
    <row r="14" spans="1:10" x14ac:dyDescent="0.25">
      <c r="A14" s="13" t="s">
        <v>20</v>
      </c>
      <c r="B14" s="13" t="s">
        <v>21</v>
      </c>
      <c r="C14" s="14" t="s">
        <v>22</v>
      </c>
      <c r="D14" s="13" t="s">
        <v>23</v>
      </c>
      <c r="E14" s="13" t="s">
        <v>24</v>
      </c>
      <c r="F14" s="13" t="s">
        <v>14</v>
      </c>
      <c r="G14" s="12"/>
      <c r="H14" s="13"/>
    </row>
    <row r="15" spans="1:10" x14ac:dyDescent="0.25">
      <c r="A15" s="21" t="str">
        <f>B5&amp;"Web"</f>
        <v>AXE_Test_Web</v>
      </c>
      <c r="B15" s="21" t="str">
        <f>$B$4&amp;"AXE-Dash"</f>
        <v>E:\SourceCodeAXE\AXE-Dash</v>
      </c>
      <c r="C15" s="17" t="s">
        <v>25</v>
      </c>
      <c r="D15" s="16">
        <v>1221</v>
      </c>
      <c r="E15" s="21"/>
      <c r="F15" s="21" t="str">
        <f>A11</f>
        <v>AXE_Test-Web</v>
      </c>
      <c r="G15" s="12"/>
      <c r="H15" s="21" t="str">
        <f>IF(A15="","",$B$8&amp;" add site /name:"""&amp;A15&amp;""" /physicalPath:"&amp;B15&amp;" /bindings:"&amp;C15&amp;"/*:"&amp;D15&amp;":"&amp;E15&amp;"" )</f>
        <v>c:\Windows\system32\inetsrv\appcmd add site /name:"AXE_Test_Web" /physicalPath:E:\SourceCodeAXE\AXE-Dash /bindings:http/*:1221:</v>
      </c>
    </row>
    <row r="16" spans="1:10" x14ac:dyDescent="0.25">
      <c r="A16" s="21"/>
      <c r="B16" s="21"/>
      <c r="C16" s="17"/>
      <c r="D16" s="21"/>
      <c r="E16" s="21"/>
      <c r="F16" s="21"/>
      <c r="G16" s="12"/>
      <c r="H16" s="21"/>
    </row>
    <row r="17" spans="1:8" x14ac:dyDescent="0.25">
      <c r="A17" s="36" t="s">
        <v>26</v>
      </c>
      <c r="B17" s="37"/>
      <c r="C17" s="37"/>
      <c r="D17" s="37"/>
      <c r="E17" s="37"/>
      <c r="F17" s="37"/>
      <c r="G17" s="12"/>
      <c r="H17" s="13"/>
    </row>
    <row r="18" spans="1:8" x14ac:dyDescent="0.25">
      <c r="A18" s="13" t="s">
        <v>27</v>
      </c>
      <c r="B18" s="13" t="s">
        <v>28</v>
      </c>
      <c r="C18" s="14" t="s">
        <v>21</v>
      </c>
      <c r="D18" s="22" t="s">
        <v>29</v>
      </c>
      <c r="E18" s="13" t="s">
        <v>30</v>
      </c>
      <c r="F18" s="13"/>
      <c r="G18" s="12"/>
      <c r="H18" s="13"/>
    </row>
    <row r="19" spans="1:8" x14ac:dyDescent="0.25">
      <c r="A19" s="21" t="s">
        <v>31</v>
      </c>
      <c r="B19" s="21" t="str">
        <f t="shared" ref="B19:B24" si="0">$A$15</f>
        <v>AXE_Test_Web</v>
      </c>
      <c r="C19" s="17" t="str">
        <f>$B$4&amp;"AXE-Acc"</f>
        <v>E:\SourceCodeAXE\AXE-Acc</v>
      </c>
      <c r="D19" s="22" t="s">
        <v>32</v>
      </c>
      <c r="E19" s="43" t="s">
        <v>33</v>
      </c>
      <c r="F19" s="43"/>
      <c r="G19" s="12"/>
      <c r="H19" s="21" t="str">
        <f t="shared" ref="H19:H24" si="1">IF(D19="","",$B$8&amp;" add app  /site.name:"""&amp;B19&amp;""" /path:/"&amp;A19&amp;" /physicalPath:"&amp;C19&amp;"")</f>
        <v>c:\Windows\system32\inetsrv\appcmd add app  /site.name:"AXE_Test_Web" /path:/login /physicalPath:E:\SourceCodeAXE\AXE-Acc</v>
      </c>
    </row>
    <row r="20" spans="1:8" ht="27.6" x14ac:dyDescent="0.25">
      <c r="A20" s="21" t="s">
        <v>34</v>
      </c>
      <c r="B20" s="21" t="str">
        <f t="shared" si="0"/>
        <v>AXE_Test_Web</v>
      </c>
      <c r="C20" s="17" t="str">
        <f>$B$4&amp;"AXE-Admin"</f>
        <v>E:\SourceCodeAXE\AXE-Admin</v>
      </c>
      <c r="D20" s="22" t="s">
        <v>32</v>
      </c>
      <c r="E20" s="43" t="s">
        <v>33</v>
      </c>
      <c r="F20" s="43"/>
      <c r="G20" s="12"/>
      <c r="H20" s="21" t="str">
        <f t="shared" si="1"/>
        <v>c:\Windows\system32\inetsrv\appcmd add app  /site.name:"AXE_Test_Web" /path:/admin /physicalPath:E:\SourceCodeAXE\AXE-Admin</v>
      </c>
    </row>
    <row r="21" spans="1:8" ht="27.6" x14ac:dyDescent="0.25">
      <c r="A21" s="21" t="s">
        <v>35</v>
      </c>
      <c r="B21" s="21" t="str">
        <f t="shared" si="0"/>
        <v>AXE_Test_Web</v>
      </c>
      <c r="C21" s="17" t="str">
        <f>$B$4&amp;"AXE-ResumUploader"</f>
        <v>E:\SourceCodeAXE\AXE-ResumUploader</v>
      </c>
      <c r="D21" s="22" t="s">
        <v>32</v>
      </c>
      <c r="E21" s="43" t="s">
        <v>33</v>
      </c>
      <c r="F21" s="43"/>
      <c r="G21" s="12"/>
      <c r="H21" s="21" t="str">
        <f t="shared" si="1"/>
        <v>c:\Windows\system32\inetsrv\appcmd add app  /site.name:"AXE_Test_Web" /path:/resumable /physicalPath:E:\SourceCodeAXE\AXE-ResumUploader</v>
      </c>
    </row>
    <row r="22" spans="1:8" ht="27.6" x14ac:dyDescent="0.25">
      <c r="A22" s="21" t="s">
        <v>36</v>
      </c>
      <c r="B22" s="21" t="str">
        <f t="shared" si="0"/>
        <v>AXE_Test_Web</v>
      </c>
      <c r="C22" s="17" t="str">
        <f>$B$4&amp;"AXE-Uploader"</f>
        <v>E:\SourceCodeAXE\AXE-Uploader</v>
      </c>
      <c r="D22" s="22" t="s">
        <v>32</v>
      </c>
      <c r="E22" s="43" t="s">
        <v>33</v>
      </c>
      <c r="F22" s="43"/>
      <c r="G22" s="12"/>
      <c r="H22" s="21" t="str">
        <f t="shared" si="1"/>
        <v>c:\Windows\system32\inetsrv\appcmd add app  /site.name:"AXE_Test_Web" /path:/uploader /physicalPath:E:\SourceCodeAXE\AXE-Uploader</v>
      </c>
    </row>
    <row r="23" spans="1:8" x14ac:dyDescent="0.25">
      <c r="A23" s="21" t="s">
        <v>37</v>
      </c>
      <c r="B23" s="21" t="str">
        <f t="shared" si="0"/>
        <v>AXE_Test_Web</v>
      </c>
      <c r="C23" s="17" t="str">
        <f>$B$7</f>
        <v>C:\Users\Admin\Desktop\Test</v>
      </c>
      <c r="D23" s="22" t="s">
        <v>32</v>
      </c>
      <c r="E23" s="43" t="s">
        <v>33</v>
      </c>
      <c r="F23" s="43"/>
      <c r="G23" s="12"/>
      <c r="H23" s="21" t="str">
        <f t="shared" si="1"/>
        <v>c:\Windows\system32\inetsrv\appcmd add app  /site.name:"AXE_Test_Web" /path:/storage /physicalPath:C:\Users\Admin\Desktop\Test</v>
      </c>
    </row>
    <row r="24" spans="1:8" ht="27.6" x14ac:dyDescent="0.25">
      <c r="A24" s="21" t="s">
        <v>38</v>
      </c>
      <c r="B24" s="21" t="str">
        <f t="shared" si="0"/>
        <v>AXE_Test_Web</v>
      </c>
      <c r="C24" s="17" t="str">
        <f>$B$4&amp;"AXE-SoHoa"</f>
        <v>E:\SourceCodeAXE\AXE-SoHoa</v>
      </c>
      <c r="D24" s="16" t="s">
        <v>32</v>
      </c>
      <c r="E24" s="43" t="s">
        <v>39</v>
      </c>
      <c r="F24" s="43"/>
      <c r="G24" s="12"/>
      <c r="H24" s="21" t="str">
        <f t="shared" si="1"/>
        <v>c:\Windows\system32\inetsrv\appcmd add app  /site.name:"AXE_Test_Web" /path:/doc /physicalPath:E:\SourceCodeAXE\AXE-SoHoa</v>
      </c>
    </row>
    <row r="25" spans="1:8" x14ac:dyDescent="0.25">
      <c r="A25" s="21"/>
      <c r="B25" s="21"/>
      <c r="C25" s="17"/>
      <c r="D25" s="21"/>
      <c r="E25" s="43"/>
      <c r="F25" s="43"/>
      <c r="G25" s="12"/>
      <c r="H25" s="21"/>
    </row>
    <row r="26" spans="1:8" x14ac:dyDescent="0.25">
      <c r="A26" s="41" t="s">
        <v>40</v>
      </c>
      <c r="B26" s="42"/>
      <c r="C26" s="42"/>
      <c r="D26" s="42"/>
      <c r="E26" s="42"/>
      <c r="F26" s="42"/>
      <c r="H26" s="13"/>
    </row>
    <row r="27" spans="1:8" x14ac:dyDescent="0.25">
      <c r="A27" s="13" t="s">
        <v>28</v>
      </c>
      <c r="B27" s="13" t="s">
        <v>41</v>
      </c>
      <c r="C27" s="14" t="s">
        <v>14</v>
      </c>
      <c r="H27" s="13"/>
    </row>
    <row r="28" spans="1:8" x14ac:dyDescent="0.25">
      <c r="A28" s="21" t="str">
        <f>$A$15</f>
        <v>AXE_Test_Web</v>
      </c>
      <c r="B28" s="21"/>
      <c r="C28" s="17" t="str">
        <f>$A$11</f>
        <v>AXE_Test-Web</v>
      </c>
      <c r="H28" s="21" t="str">
        <f>IF(C28="","",$B$8&amp;" set app "&amp;A28&amp;"/  /"&amp;"applicationPool:"&amp;C28&amp;"")</f>
        <v>c:\Windows\system32\inetsrv\appcmd set app AXE_Test_Web/  /applicationPool:AXE_Test-Web</v>
      </c>
    </row>
    <row r="29" spans="1:8" x14ac:dyDescent="0.25">
      <c r="A29" s="23"/>
      <c r="B29" s="23"/>
      <c r="C29" s="24"/>
      <c r="H29" s="21"/>
    </row>
    <row r="30" spans="1:8" x14ac:dyDescent="0.25">
      <c r="A30" s="38" t="s">
        <v>42</v>
      </c>
      <c r="B30" s="38"/>
      <c r="C30" s="38"/>
      <c r="D30" s="38"/>
      <c r="E30" s="38"/>
      <c r="F30" s="38"/>
      <c r="H30" s="21"/>
    </row>
    <row r="31" spans="1:8" x14ac:dyDescent="0.25">
      <c r="A31" s="13" t="s">
        <v>28</v>
      </c>
      <c r="B31" s="13" t="s">
        <v>43</v>
      </c>
      <c r="C31" s="14" t="s">
        <v>14</v>
      </c>
      <c r="D31" s="50" t="s">
        <v>3</v>
      </c>
      <c r="E31" s="50"/>
      <c r="F31" s="50"/>
      <c r="H31" s="21"/>
    </row>
    <row r="32" spans="1:8" x14ac:dyDescent="0.25">
      <c r="A32" s="21" t="str">
        <f>$A$15</f>
        <v>AXE_Test_Web</v>
      </c>
      <c r="B32" s="21" t="s">
        <v>31</v>
      </c>
      <c r="C32" s="17" t="str">
        <f>$A$11</f>
        <v>AXE_Test-Web</v>
      </c>
      <c r="D32" s="43"/>
      <c r="E32" s="43"/>
      <c r="F32" s="43"/>
      <c r="H32" s="21" t="str">
        <f>IF(C32="","",$B$8&amp;" set app "&amp;A32&amp;"/"&amp;B32&amp;"  /"&amp;"applicationPool:"&amp;C32&amp;"")</f>
        <v>c:\Windows\system32\inetsrv\appcmd set app AXE_Test_Web/login  /applicationPool:AXE_Test-Web</v>
      </c>
    </row>
    <row r="33" spans="1:8" x14ac:dyDescent="0.25">
      <c r="A33" s="21" t="str">
        <f t="shared" ref="A33:A37" si="2">$A$15</f>
        <v>AXE_Test_Web</v>
      </c>
      <c r="B33" s="21" t="s">
        <v>34</v>
      </c>
      <c r="C33" s="17" t="str">
        <f t="shared" ref="C33:C37" si="3">$A$11</f>
        <v>AXE_Test-Web</v>
      </c>
      <c r="D33" s="49"/>
      <c r="E33" s="49"/>
      <c r="F33" s="49"/>
      <c r="H33" s="21" t="str">
        <f>IF(C33="","",$B$8&amp;" set app "&amp;A33&amp;"/"&amp;B33&amp;"  /"&amp;"applicationPool:"&amp;C33&amp;"")</f>
        <v>c:\Windows\system32\inetsrv\appcmd set app AXE_Test_Web/admin  /applicationPool:AXE_Test-Web</v>
      </c>
    </row>
    <row r="34" spans="1:8" x14ac:dyDescent="0.25">
      <c r="A34" s="21" t="str">
        <f t="shared" si="2"/>
        <v>AXE_Test_Web</v>
      </c>
      <c r="B34" s="21" t="s">
        <v>35</v>
      </c>
      <c r="C34" s="17" t="str">
        <f t="shared" si="3"/>
        <v>AXE_Test-Web</v>
      </c>
      <c r="D34" s="49"/>
      <c r="E34" s="49"/>
      <c r="F34" s="49"/>
      <c r="H34" s="21" t="str">
        <f>IF(C34="","",$B$8&amp;" set app "&amp;A34&amp;"/"&amp;B34&amp;"  /"&amp;"applicationPool:"&amp;C34&amp;"")</f>
        <v>c:\Windows\system32\inetsrv\appcmd set app AXE_Test_Web/resumable  /applicationPool:AXE_Test-Web</v>
      </c>
    </row>
    <row r="35" spans="1:8" x14ac:dyDescent="0.25">
      <c r="A35" s="21" t="str">
        <f t="shared" si="2"/>
        <v>AXE_Test_Web</v>
      </c>
      <c r="B35" s="21" t="s">
        <v>36</v>
      </c>
      <c r="C35" s="17" t="str">
        <f t="shared" si="3"/>
        <v>AXE_Test-Web</v>
      </c>
      <c r="D35" s="49"/>
      <c r="E35" s="49"/>
      <c r="F35" s="49"/>
      <c r="H35" s="21" t="str">
        <f>IF(C35="","",$B$8&amp;" set app "&amp;A35&amp;"/"&amp;B35&amp;"  /"&amp;"applicationPool:"&amp;C35&amp;"")</f>
        <v>c:\Windows\system32\inetsrv\appcmd set app AXE_Test_Web/uploader  /applicationPool:AXE_Test-Web</v>
      </c>
    </row>
    <row r="36" spans="1:8" x14ac:dyDescent="0.25">
      <c r="A36" s="21" t="str">
        <f t="shared" si="2"/>
        <v>AXE_Test_Web</v>
      </c>
      <c r="B36" s="21" t="s">
        <v>37</v>
      </c>
      <c r="C36" s="17" t="str">
        <f t="shared" si="3"/>
        <v>AXE_Test-Web</v>
      </c>
      <c r="D36" s="49"/>
      <c r="E36" s="49"/>
      <c r="F36" s="49"/>
      <c r="H36" s="21" t="str">
        <f>IF(C36="","","c:\Windows\system32\inetsrv\appcmd set app "&amp;A36&amp;"/"&amp;B36&amp;"  /"&amp;"applicationPool:"&amp;C36&amp;"")</f>
        <v>c:\Windows\system32\inetsrv\appcmd set app AXE_Test_Web/storage  /applicationPool:AXE_Test-Web</v>
      </c>
    </row>
    <row r="37" spans="1:8" x14ac:dyDescent="0.25">
      <c r="A37" s="21" t="str">
        <f t="shared" si="2"/>
        <v>AXE_Test_Web</v>
      </c>
      <c r="B37" s="21" t="s">
        <v>38</v>
      </c>
      <c r="C37" s="17" t="str">
        <f t="shared" si="3"/>
        <v>AXE_Test-Web</v>
      </c>
      <c r="D37" s="45"/>
      <c r="E37" s="46"/>
      <c r="F37" s="47"/>
      <c r="H37" s="21" t="str">
        <f t="shared" ref="H37:H38" si="4">IF(C37="","","c:\Windows\system32\inetsrv\appcmd set app "&amp;A37&amp;"/"&amp;B37&amp;"  /"&amp;"applicationPool:"&amp;C37&amp;"")</f>
        <v>c:\Windows\system32\inetsrv\appcmd set app AXE_Test_Web/doc  /applicationPool:AXE_Test-Web</v>
      </c>
    </row>
    <row r="38" spans="1:8" x14ac:dyDescent="0.25">
      <c r="A38" s="21"/>
      <c r="B38" s="21"/>
      <c r="C38" s="17"/>
      <c r="D38" s="45"/>
      <c r="E38" s="46"/>
      <c r="F38" s="47"/>
      <c r="H38" s="21" t="str">
        <f t="shared" si="4"/>
        <v/>
      </c>
    </row>
  </sheetData>
  <mergeCells count="23">
    <mergeCell ref="D37:F37"/>
    <mergeCell ref="D38:F38"/>
    <mergeCell ref="H1:J1"/>
    <mergeCell ref="H2:H8"/>
    <mergeCell ref="D36:F36"/>
    <mergeCell ref="D31:F31"/>
    <mergeCell ref="A17:F17"/>
    <mergeCell ref="A26:F26"/>
    <mergeCell ref="A30:F30"/>
    <mergeCell ref="E21:F21"/>
    <mergeCell ref="D32:F32"/>
    <mergeCell ref="D33:F33"/>
    <mergeCell ref="D34:F34"/>
    <mergeCell ref="D35:F35"/>
    <mergeCell ref="A1:C1"/>
    <mergeCell ref="E19:F19"/>
    <mergeCell ref="E25:F25"/>
    <mergeCell ref="E20:F20"/>
    <mergeCell ref="A9:F9"/>
    <mergeCell ref="A13:F13"/>
    <mergeCell ref="E24:F24"/>
    <mergeCell ref="E22:F22"/>
    <mergeCell ref="E23:F23"/>
  </mergeCells>
  <dataValidations count="4">
    <dataValidation type="list" allowBlank="1" showInputMessage="1" showErrorMessage="1" sqref="K427:K1048576 G26:G426 K1:K25 B18 G9:G10" xr:uid="{00000000-0002-0000-0000-000000000000}">
      <formula1>$E$11:$E$12</formula1>
    </dataValidation>
    <dataValidation type="list" allowBlank="1" showInputMessage="1" showErrorMessage="1" sqref="C27 I26:I426 M1:M25 C31 H26:H27 H17:H18 H10 E11:E12 H13:H14 M427:M1048576 H427:H1048576" xr:uid="{00000000-0002-0000-0000-000001000000}">
      <formula1>$A$11:$A$12</formula1>
    </dataValidation>
    <dataValidation type="list" allowBlank="1" showInputMessage="1" showErrorMessage="1" sqref="G427:G1048576 C13:C16 G13:G25" xr:uid="{00000000-0002-0000-0000-000002000000}">
      <formula1>"http,https"</formula1>
    </dataValidation>
    <dataValidation type="list" allowBlank="1" showInputMessage="1" showErrorMessage="1" sqref="C1451:C1048576 C10:C12" xr:uid="{00000000-0002-0000-0000-000003000000}">
      <formula1>"Integrated,Classic"</formula1>
    </dataValidation>
  </dataValidations>
  <hyperlinks>
    <hyperlink ref="B6" r:id="rId1" xr:uid="{00000000-0004-0000-0000-000000000000}"/>
    <hyperlink ref="B7" r:id="rId2" display="\\192.170.13.83\Publish\AXE"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tabSelected="1" zoomScale="115" zoomScaleNormal="115" workbookViewId="0">
      <selection activeCell="B23" sqref="B23"/>
    </sheetView>
  </sheetViews>
  <sheetFormatPr defaultColWidth="8.88671875" defaultRowHeight="13.8" x14ac:dyDescent="0.25"/>
  <cols>
    <col min="1" max="1" width="40.109375" style="11" customWidth="1"/>
    <col min="2" max="2" width="88" style="11" customWidth="1"/>
    <col min="3" max="3" width="40.33203125" style="11" customWidth="1"/>
    <col min="4" max="4" width="42.44140625" style="11" bestFit="1" customWidth="1"/>
    <col min="5" max="5" width="41.109375" style="11" bestFit="1" customWidth="1"/>
    <col min="6" max="6" width="5.33203125" style="11" bestFit="1" customWidth="1"/>
    <col min="7" max="7" width="255.44140625" style="11" customWidth="1"/>
    <col min="8" max="8" width="10.109375" style="11" customWidth="1"/>
    <col min="9" max="9" width="36.44140625" style="11" bestFit="1" customWidth="1"/>
    <col min="10" max="10" width="19.44140625" style="11" bestFit="1" customWidth="1"/>
    <col min="11" max="16384" width="8.88671875" style="11"/>
  </cols>
  <sheetData>
    <row r="1" spans="1:7" x14ac:dyDescent="0.25">
      <c r="A1" s="38" t="s">
        <v>0</v>
      </c>
      <c r="B1" s="38"/>
      <c r="C1" s="38"/>
      <c r="D1" s="26"/>
      <c r="E1" s="26"/>
      <c r="F1" s="12"/>
      <c r="G1" s="20"/>
    </row>
    <row r="2" spans="1:7" x14ac:dyDescent="0.25">
      <c r="A2" s="13" t="s">
        <v>1</v>
      </c>
      <c r="B2" s="13" t="s">
        <v>2</v>
      </c>
      <c r="C2" s="13" t="s">
        <v>3</v>
      </c>
      <c r="D2" s="31"/>
      <c r="E2" s="31"/>
      <c r="F2" s="12"/>
      <c r="G2" s="39"/>
    </row>
    <row r="3" spans="1:7" x14ac:dyDescent="0.25">
      <c r="A3" s="15" t="s">
        <v>44</v>
      </c>
      <c r="B3" s="16" t="s">
        <v>95</v>
      </c>
      <c r="C3" s="21"/>
      <c r="F3" s="12"/>
      <c r="G3" s="40"/>
    </row>
    <row r="4" spans="1:7" x14ac:dyDescent="0.25">
      <c r="A4" s="15" t="s">
        <v>45</v>
      </c>
      <c r="B4" s="16" t="s">
        <v>96</v>
      </c>
      <c r="C4" s="21"/>
      <c r="F4" s="12"/>
      <c r="G4" s="40"/>
    </row>
    <row r="5" spans="1:7" x14ac:dyDescent="0.25">
      <c r="A5" s="15" t="s">
        <v>46</v>
      </c>
      <c r="B5" s="16" t="s">
        <v>47</v>
      </c>
      <c r="C5" s="21"/>
      <c r="F5" s="12"/>
      <c r="G5" s="40"/>
    </row>
    <row r="6" spans="1:7" x14ac:dyDescent="0.25">
      <c r="A6" s="18" t="s">
        <v>48</v>
      </c>
      <c r="B6" s="32">
        <v>123456</v>
      </c>
      <c r="C6" s="21"/>
      <c r="F6" s="12"/>
      <c r="G6" s="40"/>
    </row>
    <row r="7" spans="1:7" x14ac:dyDescent="0.25">
      <c r="A7" s="41" t="s">
        <v>49</v>
      </c>
      <c r="B7" s="42"/>
      <c r="C7" s="42"/>
      <c r="D7" s="26"/>
      <c r="E7" s="26"/>
      <c r="F7" s="12"/>
      <c r="G7" s="20"/>
    </row>
    <row r="8" spans="1:7" x14ac:dyDescent="0.25">
      <c r="A8" s="13" t="s">
        <v>50</v>
      </c>
      <c r="B8" s="13" t="s">
        <v>48</v>
      </c>
      <c r="C8" s="13"/>
      <c r="D8" s="31"/>
      <c r="E8" s="31"/>
      <c r="F8" s="12"/>
      <c r="G8" s="13"/>
    </row>
    <row r="9" spans="1:7" x14ac:dyDescent="0.25">
      <c r="A9" s="21" t="s">
        <v>47</v>
      </c>
      <c r="B9" s="21">
        <v>123456</v>
      </c>
      <c r="C9" s="21"/>
      <c r="F9" s="12"/>
      <c r="G9" s="21" t="str">
        <f>IF(D2="","","CREATE LOGIN "&amp;A9&amp;" WITH PASSWORD = '"&amp;B9&amp;"', CHECK_POLICY = OFF,           CHECK_EXPIRATION = OFF;")</f>
        <v/>
      </c>
    </row>
    <row r="10" spans="1:7" x14ac:dyDescent="0.25">
      <c r="A10" s="41" t="s">
        <v>51</v>
      </c>
      <c r="B10" s="42"/>
      <c r="C10" s="42"/>
      <c r="D10" s="26"/>
      <c r="E10" s="26"/>
      <c r="F10" s="12"/>
      <c r="G10" s="21"/>
    </row>
    <row r="11" spans="1:7" x14ac:dyDescent="0.25">
      <c r="B11" s="21"/>
      <c r="C11" s="21"/>
      <c r="D11" s="21"/>
      <c r="F11" s="12"/>
      <c r="G11" s="21" t="str">
        <f>"DECLARE @DataLogicalName NVARCHAR(128);DECLARE @LogLogicalName NVARCHAR(128);"</f>
        <v>DECLARE @DataLogicalName NVARCHAR(128);DECLARE @LogLogicalName NVARCHAR(128);</v>
      </c>
    </row>
    <row r="12" spans="1:7" x14ac:dyDescent="0.25">
      <c r="A12" s="33"/>
      <c r="B12" s="34"/>
      <c r="C12" s="34"/>
      <c r="F12" s="12"/>
      <c r="G12" s="21" t="s">
        <v>52</v>
      </c>
    </row>
    <row r="13" spans="1:7" x14ac:dyDescent="0.25">
      <c r="A13" s="36" t="s">
        <v>53</v>
      </c>
      <c r="B13" s="37"/>
      <c r="C13" s="37"/>
      <c r="D13" s="26"/>
      <c r="E13" s="26"/>
      <c r="F13" s="12"/>
      <c r="G13" s="13"/>
    </row>
    <row r="14" spans="1:7" x14ac:dyDescent="0.25">
      <c r="A14" s="27" t="s">
        <v>54</v>
      </c>
      <c r="B14" s="27" t="s">
        <v>21</v>
      </c>
      <c r="C14" s="27" t="s">
        <v>55</v>
      </c>
      <c r="D14" s="27" t="s">
        <v>56</v>
      </c>
      <c r="E14" s="27" t="s">
        <v>57</v>
      </c>
      <c r="F14" s="12"/>
      <c r="G14" s="13"/>
    </row>
    <row r="15" spans="1:7" x14ac:dyDescent="0.25">
      <c r="A15" s="28" t="s">
        <v>97</v>
      </c>
      <c r="B15" s="27" t="str">
        <f>B3&amp;A15</f>
        <v>C:\SoHoaThaiNguyen\Database\BackupSQL\AXE_2026_THAINGUYEN_ACC.bak</v>
      </c>
      <c r="C15" s="29" t="s">
        <v>103</v>
      </c>
      <c r="D15" s="30" t="str">
        <f>$B$4&amp;$C15&amp;".mdf"</f>
        <v>C:\SoHoaThaiNguyen\Database\MDFAXE_2026_THAINGUYEN_ACC.mdf</v>
      </c>
      <c r="E15" s="30" t="str">
        <f>$B$4&amp;$C15&amp;".ldf"</f>
        <v>C:\SoHoaThaiNguyen\Database\MDFAXE_2026_THAINGUYEN_ACC.ldf</v>
      </c>
      <c r="F15" s="12"/>
      <c r="G15" s="35" t="str">
        <f>"INSERT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''"&amp;B15&amp;"''');"&amp;"
UPDATE #FileList SET PhysicalPath = '"&amp;B15&amp;"' WHERE PhysicalPath IS NULL;"&amp;"
set @DataLogicalName = (select LogicalName FROM #FileList WHERE Type = 'D' AND PhysicalPath = '"&amp;B15&amp;"');"&amp;"
set @LogLogicalName = (select LogicalName FROM #FileList WHERE Type = 'L' AND PhysicalPath = '"&amp;B15&amp;"');"&amp;"
RESTORE DATABASE "&amp;$C15&amp;" FROM DISK = '"&amp;B15&amp;"'
WITH 
MOVE @DataLogicalName TO '"&amp;D15&amp;"',
MOVE @LogLogicalName TO '"&amp;E15&amp;"', REPLACE;"
&amp;"EXEC "&amp;$C15&amp;".sys.sp_executesql N'CREATE USER "&amp;$B$5&amp;" FOR LOGIN "&amp;$B$5&amp;"';
EXEC "&amp;$C15&amp;".sys.sp_executesql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''C:\SoHoaThaiNguyen\Database\BackupSQL\AXE_2026_THAINGUYEN_ACC.bak''');
UPDATE #FileList SET PhysicalPath = 'C:\SoHoaThaiNguyen\Database\BackupSQL\AXE_2026_THAINGUYEN_ACC.bak' WHERE PhysicalPath IS NULL;
set @DataLogicalName = (select LogicalName FROM #FileList WHERE Type = 'D' AND PhysicalPath = 'C:\SoHoaThaiNguyen\Database\BackupSQL\AXE_2026_THAINGUYEN_ACC.bak');
set @LogLogicalName = (select LogicalName FROM #FileList WHERE Type = 'L' AND PhysicalPath = 'C:\SoHoaThaiNguyen\Database\BackupSQL\AXE_2026_THAINGUYEN_ACC.bak');
RESTORE DATABASE AXE_2026_THAINGUYEN_ACC FROM DISK = 'C:\SoHoaThaiNguyen\Database\BackupSQL\AXE_2026_THAINGUYEN_ACC.bak'
WITH 
MOVE @DataLogicalName TO 'C:\SoHoaThaiNguyen\Database\MDFAXE_2026_THAINGUYEN_ACC.mdf',
MOVE @LogLogicalName TO 'C:\SoHoaThaiNguyen\Database\MDFAXE_2026_THAINGUYEN_ACC.ldf', REPLACE;EXEC AXE_2026_THAINGUYEN_ACC.sys.sp_executesql N'CREATE USER dev FOR LOGIN dev';
EXEC AXE_2026_THAINGUYEN_ACC.sys.sp_executesql N'ALTER ROLE db_owner ADD MEMBER dev';</v>
      </c>
    </row>
    <row r="16" spans="1:7" x14ac:dyDescent="0.25">
      <c r="A16" s="28" t="s">
        <v>98</v>
      </c>
      <c r="B16" s="30" t="str">
        <f>B3&amp;A16</f>
        <v>C:\SoHoaThaiNguyen\Database\BackupSQL\AXE_2026_THAINGUYEN_CLOUD.bak</v>
      </c>
      <c r="C16" s="29" t="s">
        <v>104</v>
      </c>
      <c r="D16" s="30" t="str">
        <f>$B$4&amp;$C16&amp;".mdf"</f>
        <v>C:\SoHoaThaiNguyen\Database\MDFAXE_2026_THAINGUYEN_CLOUD.mdf</v>
      </c>
      <c r="E16" s="30" t="str">
        <f>$B$4&amp;$C16&amp;".ldf"</f>
        <v>C:\SoHoaThaiNguyen\Database\MDFAXE_2026_THAINGUYEN_CLOUD.ldf</v>
      </c>
      <c r="F16" s="12"/>
      <c r="G16" s="35" t="str">
        <f>"INSERT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''"&amp;B16&amp;"''');"&amp;"
UPDATE #FileList SET PhysicalPath = '"&amp;B16&amp;"' WHERE PhysicalPath IS NULL;"&amp;"
set @DataLogicalName = (select LogicalName FROM #FileList WHERE Type = 'D' AND PhysicalPath = '"&amp;B16&amp;"');"&amp;"
set @LogLogicalName = (select LogicalName FROM #FileList WHERE Type = 'L' AND PhysicalPath = '"&amp;B16&amp;"');"&amp;"
RESTORE DATABASE "&amp;$C16&amp;" FROM DISK = '"&amp;B16&amp;"'
WITH 
MOVE @DataLogicalName TO '"&amp;D16&amp;"',
MOVE @LogLogicalName TO '"&amp;E16&amp;"', REPLACE;"
&amp;"EXEC "&amp;$C16&amp;".sys.sp_executesql N'CREATE USER "&amp;$B$5&amp;" FOR LOGIN "&amp;$B$5&amp;"';
EXEC "&amp;$C16&amp;".sys.sp_executesql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''C:\SoHoaThaiNguyen\Database\BackupSQL\AXE_2026_THAINGUYEN_CLOUD.bak''');
UPDATE #FileList SET PhysicalPath = 'C:\SoHoaThaiNguyen\Database\BackupSQL\AXE_2026_THAINGUYEN_CLOUD.bak' WHERE PhysicalPath IS NULL;
set @DataLogicalName = (select LogicalName FROM #FileList WHERE Type = 'D' AND PhysicalPath = 'C:\SoHoaThaiNguyen\Database\BackupSQL\AXE_2026_THAINGUYEN_CLOUD.bak');
set @LogLogicalName = (select LogicalName FROM #FileList WHERE Type = 'L' AND PhysicalPath = 'C:\SoHoaThaiNguyen\Database\BackupSQL\AXE_2026_THAINGUYEN_CLOUD.bak');
RESTORE DATABASE AXE_2026_THAINGUYEN_CLOUD FROM DISK = 'C:\SoHoaThaiNguyen\Database\BackupSQL\AXE_2026_THAINGUYEN_CLOUD.bak'
WITH 
MOVE @DataLogicalName TO 'C:\SoHoaThaiNguyen\Database\MDFAXE_2026_THAINGUYEN_CLOUD.mdf',
MOVE @LogLogicalName TO 'C:\SoHoaThaiNguyen\Database\MDFAXE_2026_THAINGUYEN_CLOUD.ldf', REPLACE;EXEC AXE_2026_THAINGUYEN_CLOUD.sys.sp_executesql N'CREATE USER dev FOR LOGIN dev';
EXEC AXE_2026_THAINGUYEN_CLOUD.sys.sp_executesql N'ALTER ROLE db_owner ADD MEMBER dev';</v>
      </c>
    </row>
    <row r="17" spans="1:7" x14ac:dyDescent="0.25">
      <c r="A17" s="28" t="s">
        <v>99</v>
      </c>
      <c r="B17" s="30" t="str">
        <f>B3&amp;A17</f>
        <v>C:\SoHoaThaiNguyen\Database\BackupSQL\AXE_2026_THAINGUYEN_CNF.bak</v>
      </c>
      <c r="C17" s="28" t="s">
        <v>105</v>
      </c>
      <c r="D17" s="30" t="str">
        <f t="shared" ref="D17:D20" si="0">$B$4&amp;$C17&amp;".mdf"</f>
        <v>C:\SoHoaThaiNguyen\Database\MDFAXE_2026_THAINGUYEN_CNF.mdf</v>
      </c>
      <c r="E17" s="30" t="str">
        <f t="shared" ref="E17:E20" si="1">$B$4&amp;$C17&amp;".ldf"</f>
        <v>C:\SoHoaThaiNguyen\Database\MDFAXE_2026_THAINGUYEN_CNF.ldf</v>
      </c>
      <c r="F17" s="12"/>
      <c r="G17" s="35" t="str">
        <f t="shared" ref="G17:G20" si="2">"INSERT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''"&amp;B17&amp;"''');"&amp;"
UPDATE #FileList SET PhysicalPath = '"&amp;B17&amp;"' WHERE PhysicalPath IS NULL;"&amp;"
set @DataLogicalName = (select LogicalName FROM #FileList WHERE Type = 'D' AND PhysicalPath = '"&amp;B17&amp;"');"&amp;"
set @LogLogicalName = (select LogicalName FROM #FileList WHERE Type = 'L' AND PhysicalPath = '"&amp;B17&amp;"');"&amp;"
RESTORE DATABASE "&amp;$C17&amp;" FROM DISK = '"&amp;B17&amp;"'
WITH 
MOVE @DataLogicalName TO '"&amp;D17&amp;"',
MOVE @LogLogicalName TO '"&amp;E17&amp;"', REPLACE;"
&amp;"EXEC "&amp;$C17&amp;".sys.sp_executesql N'CREATE USER "&amp;$B$5&amp;" FOR LOGIN "&amp;$B$5&amp;"';
EXEC "&amp;$C17&amp;".sys.sp_executesql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''C:\SoHoaThaiNguyen\Database\BackupSQL\AXE_2026_THAINGUYEN_CNF.bak''');
UPDATE #FileList SET PhysicalPath = 'C:\SoHoaThaiNguyen\Database\BackupSQL\AXE_2026_THAINGUYEN_CNF.bak' WHERE PhysicalPath IS NULL;
set @DataLogicalName = (select LogicalName FROM #FileList WHERE Type = 'D' AND PhysicalPath = 'C:\SoHoaThaiNguyen\Database\BackupSQL\AXE_2026_THAINGUYEN_CNF.bak');
set @LogLogicalName = (select LogicalName FROM #FileList WHERE Type = 'L' AND PhysicalPath = 'C:\SoHoaThaiNguyen\Database\BackupSQL\AXE_2026_THAINGUYEN_CNF.bak');
RESTORE DATABASE AXE_2026_THAINGUYEN_CNF FROM DISK = 'C:\SoHoaThaiNguyen\Database\BackupSQL\AXE_2026_THAINGUYEN_CNF.bak'
WITH 
MOVE @DataLogicalName TO 'C:\SoHoaThaiNguyen\Database\MDFAXE_2026_THAINGUYEN_CNF.mdf',
MOVE @LogLogicalName TO 'C:\SoHoaThaiNguyen\Database\MDFAXE_2026_THAINGUYEN_CNF.ldf', REPLACE;EXEC AXE_2026_THAINGUYEN_CNF.sys.sp_executesql N'CREATE USER dev FOR LOGIN dev';
EXEC AXE_2026_THAINGUYEN_CNF.sys.sp_executesql N'ALTER ROLE db_owner ADD MEMBER dev';</v>
      </c>
    </row>
    <row r="18" spans="1:7" x14ac:dyDescent="0.25">
      <c r="A18" s="28" t="s">
        <v>100</v>
      </c>
      <c r="B18" s="30" t="str">
        <f>B3&amp;A18</f>
        <v>C:\SoHoaThaiNguyen\Database\BackupSQL\AXE_2026_THAINGUYEN_LOG.bak</v>
      </c>
      <c r="C18" s="28" t="s">
        <v>106</v>
      </c>
      <c r="D18" s="30" t="str">
        <f t="shared" si="0"/>
        <v>C:\SoHoaThaiNguyen\Database\MDFAXE_2026_THAINGUYEN_LOG.mdf</v>
      </c>
      <c r="E18" s="30" t="str">
        <f t="shared" si="1"/>
        <v>C:\SoHoaThaiNguyen\Database\MDFAXE_2026_THAINGUYEN_LOG.ldf</v>
      </c>
      <c r="F18" s="12"/>
      <c r="G18" s="35"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''C:\SoHoaThaiNguyen\Database\BackupSQL\AXE_2026_THAINGUYEN_LOG.bak''');
UPDATE #FileList SET PhysicalPath = 'C:\SoHoaThaiNguyen\Database\BackupSQL\AXE_2026_THAINGUYEN_LOG.bak' WHERE PhysicalPath IS NULL;
set @DataLogicalName = (select LogicalName FROM #FileList WHERE Type = 'D' AND PhysicalPath = 'C:\SoHoaThaiNguyen\Database\BackupSQL\AXE_2026_THAINGUYEN_LOG.bak');
set @LogLogicalName = (select LogicalName FROM #FileList WHERE Type = 'L' AND PhysicalPath = 'C:\SoHoaThaiNguyen\Database\BackupSQL\AXE_2026_THAINGUYEN_LOG.bak');
RESTORE DATABASE AXE_2026_THAINGUYEN_LOG FROM DISK = 'C:\SoHoaThaiNguyen\Database\BackupSQL\AXE_2026_THAINGUYEN_LOG.bak'
WITH 
MOVE @DataLogicalName TO 'C:\SoHoaThaiNguyen\Database\MDFAXE_2026_THAINGUYEN_LOG.mdf',
MOVE @LogLogicalName TO 'C:\SoHoaThaiNguyen\Database\MDFAXE_2026_THAINGUYEN_LOG.ldf', REPLACE;EXEC AXE_2026_THAINGUYEN_LOG.sys.sp_executesql N'CREATE USER dev FOR LOGIN dev';
EXEC AXE_2026_THAINGUYEN_LOG.sys.sp_executesql N'ALTER ROLE db_owner ADD MEMBER dev';</v>
      </c>
    </row>
    <row r="19" spans="1:7" x14ac:dyDescent="0.25">
      <c r="A19" s="28" t="s">
        <v>101</v>
      </c>
      <c r="B19" s="30" t="str">
        <f>B3&amp;A19</f>
        <v>C:\SoHoaThaiNguyen\Database\BackupSQL\AXE_2026_THAINGUYEN_MSG.bak</v>
      </c>
      <c r="C19" s="28" t="s">
        <v>107</v>
      </c>
      <c r="D19" s="30" t="str">
        <f t="shared" si="0"/>
        <v>C:\SoHoaThaiNguyen\Database\MDFAXE_2026_THAINGUYEN_MSG.mdf</v>
      </c>
      <c r="E19" s="30" t="str">
        <f t="shared" si="1"/>
        <v>C:\SoHoaThaiNguyen\Database\MDFAXE_2026_THAINGUYEN_MSG.ldf</v>
      </c>
      <c r="F19" s="12"/>
      <c r="G19" s="35"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''C:\SoHoaThaiNguyen\Database\BackupSQL\AXE_2026_THAINGUYEN_MSG.bak''');
UPDATE #FileList SET PhysicalPath = 'C:\SoHoaThaiNguyen\Database\BackupSQL\AXE_2026_THAINGUYEN_MSG.bak' WHERE PhysicalPath IS NULL;
set @DataLogicalName = (select LogicalName FROM #FileList WHERE Type = 'D' AND PhysicalPath = 'C:\SoHoaThaiNguyen\Database\BackupSQL\AXE_2026_THAINGUYEN_MSG.bak');
set @LogLogicalName = (select LogicalName FROM #FileList WHERE Type = 'L' AND PhysicalPath = 'C:\SoHoaThaiNguyen\Database\BackupSQL\AXE_2026_THAINGUYEN_MSG.bak');
RESTORE DATABASE AXE_2026_THAINGUYEN_MSG FROM DISK = 'C:\SoHoaThaiNguyen\Database\BackupSQL\AXE_2026_THAINGUYEN_MSG.bak'
WITH 
MOVE @DataLogicalName TO 'C:\SoHoaThaiNguyen\Database\MDFAXE_2026_THAINGUYEN_MSG.mdf',
MOVE @LogLogicalName TO 'C:\SoHoaThaiNguyen\Database\MDFAXE_2026_THAINGUYEN_MSG.ldf', REPLACE;EXEC AXE_2026_THAINGUYEN_MSG.sys.sp_executesql N'CREATE USER dev FOR LOGIN dev';
EXEC AXE_2026_THAINGUYEN_MSG.sys.sp_executesql N'ALTER ROLE db_owner ADD MEMBER dev';</v>
      </c>
    </row>
    <row r="20" spans="1:7" x14ac:dyDescent="0.25">
      <c r="A20" s="28" t="s">
        <v>102</v>
      </c>
      <c r="B20" s="30" t="str">
        <f>B3&amp;A20</f>
        <v>C:\SoHoaThaiNguyen\Database\BackupSQL\AXE_2026_THAINGUYEN_STG.bak</v>
      </c>
      <c r="C20" s="28" t="s">
        <v>108</v>
      </c>
      <c r="D20" s="30" t="str">
        <f t="shared" si="0"/>
        <v>C:\SoHoaThaiNguyen\Database\MDFAXE_2026_THAINGUYEN_STG.mdf</v>
      </c>
      <c r="E20" s="30" t="str">
        <f t="shared" si="1"/>
        <v>C:\SoHoaThaiNguyen\Database\MDFAXE_2026_THAINGUYEN_STG.ldf</v>
      </c>
      <c r="F20" s="12"/>
      <c r="G20" s="35"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''C:\SoHoaThaiNguyen\Database\BackupSQL\AXE_2026_THAINGUYEN_STG.bak''');
UPDATE #FileList SET PhysicalPath = 'C:\SoHoaThaiNguyen\Database\BackupSQL\AXE_2026_THAINGUYEN_STG.bak' WHERE PhysicalPath IS NULL;
set @DataLogicalName = (select LogicalName FROM #FileList WHERE Type = 'D' AND PhysicalPath = 'C:\SoHoaThaiNguyen\Database\BackupSQL\AXE_2026_THAINGUYEN_STG.bak');
set @LogLogicalName = (select LogicalName FROM #FileList WHERE Type = 'L' AND PhysicalPath = 'C:\SoHoaThaiNguyen\Database\BackupSQL\AXE_2026_THAINGUYEN_STG.bak');
RESTORE DATABASE AXE_2026_THAINGUYEN_STG FROM DISK = 'C:\SoHoaThaiNguyen\Database\BackupSQL\AXE_2026_THAINGUYEN_STG.bak'
WITH 
MOVE @DataLogicalName TO 'C:\SoHoaThaiNguyen\Database\MDFAXE_2026_THAINGUYEN_STG.mdf',
MOVE @LogLogicalName TO 'C:\SoHoaThaiNguyen\Database\MDFAXE_2026_THAINGUYEN_STG.ldf', REPLACE;EXEC AXE_2026_THAINGUYEN_STG.sys.sp_executesql N'CREATE USER dev FOR LOGIN dev';
EXEC AXE_2026_THAINGUYEN_STG.sys.sp_executesql N'ALTER ROLE db_owner ADD MEMBER dev';</v>
      </c>
    </row>
  </sheetData>
  <mergeCells count="5">
    <mergeCell ref="A13:C13"/>
    <mergeCell ref="A1:C1"/>
    <mergeCell ref="G2:G6"/>
    <mergeCell ref="A7:C7"/>
    <mergeCell ref="A10:C10"/>
  </mergeCells>
  <dataValidations count="4">
    <dataValidation type="list" allowBlank="1" showInputMessage="1" showErrorMessage="1" sqref="C1439:E1048576 C8:E9 C11:C12 E11:E12 D12" xr:uid="{00000000-0002-0000-0100-000000000000}">
      <formula1>"Integrated,Classic"</formula1>
    </dataValidation>
    <dataValidation type="list" allowBlank="1" showInputMessage="1" showErrorMessage="1" sqref="F415:F1048576 C13:E13 F13:F20" xr:uid="{00000000-0002-0000-0100-000001000000}">
      <formula1>"http,https"</formula1>
    </dataValidation>
    <dataValidation type="list" allowBlank="1" showInputMessage="1" showErrorMessage="1" sqref="H415:H1048576 F7:F8 F21:F414 H1:H20" xr:uid="{00000000-0002-0000-0100-000002000000}">
      <formula1>#REF!</formula1>
    </dataValidation>
    <dataValidation type="list" allowBlank="1" showInputMessage="1" showErrorMessage="1" sqref="G8 G415:G1048576 J415:J1048576 G13:G14 J1:J20" xr:uid="{00000000-0002-0000-0100-000003000000}">
      <formula1>$A$9:$A$11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topLeftCell="B1" workbookViewId="0">
      <selection activeCell="D2" sqref="D2"/>
    </sheetView>
  </sheetViews>
  <sheetFormatPr defaultRowHeight="14.4" x14ac:dyDescent="0.3"/>
  <cols>
    <col min="1" max="1" width="39.6640625" bestFit="1" customWidth="1"/>
    <col min="2" max="2" width="50.44140625" bestFit="1" customWidth="1"/>
    <col min="3" max="3" width="34" customWidth="1"/>
    <col min="4" max="4" width="97.88671875" customWidth="1"/>
  </cols>
  <sheetData>
    <row r="1" spans="1:4" x14ac:dyDescent="0.3">
      <c r="A1" s="1" t="s">
        <v>1</v>
      </c>
      <c r="B1" s="1" t="s">
        <v>2</v>
      </c>
      <c r="C1" s="8" t="s">
        <v>3</v>
      </c>
    </row>
    <row r="2" spans="1:4" x14ac:dyDescent="0.3">
      <c r="A2" s="6" t="s">
        <v>58</v>
      </c>
      <c r="B2" s="7" t="s">
        <v>59</v>
      </c>
      <c r="C2" s="9"/>
      <c r="D2" t="s">
        <v>60</v>
      </c>
    </row>
    <row r="3" spans="1:4" x14ac:dyDescent="0.3">
      <c r="A3" s="6" t="s">
        <v>61</v>
      </c>
      <c r="B3" s="7" t="s">
        <v>62</v>
      </c>
      <c r="C3" s="9"/>
    </row>
    <row r="4" spans="1:4" x14ac:dyDescent="0.3">
      <c r="A4" s="6" t="s">
        <v>63</v>
      </c>
      <c r="B4" s="7" t="s">
        <v>64</v>
      </c>
      <c r="C4" s="9"/>
      <c r="D4" t="s">
        <v>65</v>
      </c>
    </row>
    <row r="5" spans="1:4" x14ac:dyDescent="0.3">
      <c r="A5" s="6" t="s">
        <v>66</v>
      </c>
      <c r="B5" s="7" t="s">
        <v>67</v>
      </c>
      <c r="C5" s="9"/>
    </row>
    <row r="6" spans="1:4" x14ac:dyDescent="0.3">
      <c r="A6" s="5"/>
      <c r="B6" s="10"/>
      <c r="C6"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Normal="100" workbookViewId="0">
      <selection activeCell="A20" sqref="A20"/>
    </sheetView>
  </sheetViews>
  <sheetFormatPr defaultColWidth="8.88671875" defaultRowHeight="14.4" x14ac:dyDescent="0.3"/>
  <cols>
    <col min="1" max="1" width="23.44140625" bestFit="1" customWidth="1"/>
    <col min="2" max="2" width="35.33203125" bestFit="1" customWidth="1"/>
    <col min="3" max="3" width="41.44140625" bestFit="1" customWidth="1"/>
    <col min="4" max="4" width="5.44140625" bestFit="1" customWidth="1"/>
    <col min="5" max="5" width="5.33203125" bestFit="1" customWidth="1"/>
    <col min="6" max="6" width="19.44140625" bestFit="1" customWidth="1"/>
    <col min="7" max="7" width="5.33203125" bestFit="1" customWidth="1"/>
    <col min="8" max="8" width="135.44140625" bestFit="1" customWidth="1"/>
    <col min="10" max="10" width="15" bestFit="1" customWidth="1"/>
    <col min="11" max="11" width="10.109375" bestFit="1" customWidth="1"/>
    <col min="12" max="12" width="36.44140625" bestFit="1" customWidth="1"/>
    <col min="13" max="13" width="19.44140625" bestFit="1" customWidth="1"/>
  </cols>
  <sheetData>
    <row r="1" spans="1:8" x14ac:dyDescent="0.3">
      <c r="G1" s="4"/>
    </row>
    <row r="2" spans="1:8" ht="35.25" customHeight="1" x14ac:dyDescent="0.3">
      <c r="A2" s="54" t="s">
        <v>13</v>
      </c>
      <c r="B2" s="54"/>
      <c r="C2" s="54"/>
      <c r="G2" s="4"/>
      <c r="H2" s="3" t="s">
        <v>68</v>
      </c>
    </row>
    <row r="3" spans="1:8" x14ac:dyDescent="0.3">
      <c r="A3" s="1" t="s">
        <v>14</v>
      </c>
      <c r="B3" s="1" t="s">
        <v>15</v>
      </c>
      <c r="C3" s="1" t="s">
        <v>16</v>
      </c>
      <c r="G3" s="4"/>
      <c r="H3" s="1"/>
    </row>
    <row r="4" spans="1:8" x14ac:dyDescent="0.3">
      <c r="A4" s="2" t="s">
        <v>69</v>
      </c>
      <c r="B4" s="2" t="s">
        <v>17</v>
      </c>
      <c r="C4" s="2" t="s">
        <v>18</v>
      </c>
      <c r="G4" s="4"/>
      <c r="H4" s="2" t="str">
        <f>IF(A4="","","c:\Windows\system32\inetsrv\appcmd add apppool /name:"&amp;A4&amp;" /managedRuntimeVersion:"&amp;B4&amp;" /managedPipelineMode:"&amp;C4&amp;"")</f>
        <v>c:\Windows\system32\inetsrv\appcmd add apppool /name:MMDS-ConfigAPI /managedRuntimeVersion:v4.0 /managedPipelineMode:Integrated</v>
      </c>
    </row>
    <row r="5" spans="1:8" x14ac:dyDescent="0.3">
      <c r="A5" s="2" t="s">
        <v>70</v>
      </c>
      <c r="B5" s="2" t="s">
        <v>17</v>
      </c>
      <c r="C5" s="2" t="s">
        <v>18</v>
      </c>
      <c r="G5" s="4"/>
      <c r="H5" s="2" t="str">
        <f t="shared" ref="H5:H13" si="0">IF(A5="","","c:\Windows\system32\inetsrv\appcmd add apppool /name:"&amp;A5&amp;" /managedRuntimeVersion:"&amp;B5&amp;" /managedPipelineMode:"&amp;C5&amp;"")</f>
        <v>c:\Windows\system32\inetsrv\appcmd add apppool /name:MMDS-File /managedRuntimeVersion:v4.0 /managedPipelineMode:Integrated</v>
      </c>
    </row>
    <row r="6" spans="1:8" x14ac:dyDescent="0.3">
      <c r="A6" s="2" t="s">
        <v>71</v>
      </c>
      <c r="B6" s="2" t="s">
        <v>17</v>
      </c>
      <c r="C6" s="2" t="s">
        <v>18</v>
      </c>
      <c r="G6" s="4"/>
      <c r="H6" s="2" t="str">
        <f t="shared" si="0"/>
        <v>c:\Windows\system32\inetsrv\appcmd add apppool /name:MMDS-Hangfire /managedRuntimeVersion:v4.0 /managedPipelineMode:Integrated</v>
      </c>
    </row>
    <row r="7" spans="1:8" x14ac:dyDescent="0.3">
      <c r="A7" s="2" t="s">
        <v>72</v>
      </c>
      <c r="B7" s="2" t="s">
        <v>17</v>
      </c>
      <c r="C7" s="2" t="s">
        <v>18</v>
      </c>
      <c r="G7" s="4"/>
      <c r="H7" s="2" t="str">
        <f t="shared" si="0"/>
        <v>c:\Windows\system32\inetsrv\appcmd add apppool /name:MMDS-Lgsp /managedRuntimeVersion:v4.0 /managedPipelineMode:Integrated</v>
      </c>
    </row>
    <row r="8" spans="1:8" x14ac:dyDescent="0.3">
      <c r="A8" s="2" t="s">
        <v>73</v>
      </c>
      <c r="B8" s="2" t="s">
        <v>17</v>
      </c>
      <c r="C8" s="2" t="s">
        <v>18</v>
      </c>
      <c r="G8" s="4"/>
      <c r="H8" s="2" t="str">
        <f t="shared" si="0"/>
        <v>c:\Windows\system32\inetsrv\appcmd add apppool /name:MMDS-Log /managedRuntimeVersion:v4.0 /managedPipelineMode:Integrated</v>
      </c>
    </row>
    <row r="9" spans="1:8" x14ac:dyDescent="0.3">
      <c r="A9" s="2" t="s">
        <v>74</v>
      </c>
      <c r="B9" s="2" t="s">
        <v>17</v>
      </c>
      <c r="C9" s="2" t="s">
        <v>18</v>
      </c>
      <c r="G9" s="4"/>
      <c r="H9" s="2" t="str">
        <f t="shared" si="0"/>
        <v>c:\Windows\system32\inetsrv\appcmd add apppool /name:MMDS-Mobile /managedRuntimeVersion:v4.0 /managedPipelineMode:Integrated</v>
      </c>
    </row>
    <row r="10" spans="1:8" x14ac:dyDescent="0.3">
      <c r="A10" s="2" t="s">
        <v>75</v>
      </c>
      <c r="B10" s="2" t="s">
        <v>17</v>
      </c>
      <c r="C10" s="2" t="s">
        <v>18</v>
      </c>
      <c r="G10" s="4"/>
      <c r="H10" s="2" t="str">
        <f t="shared" si="0"/>
        <v>c:\Windows\system32\inetsrv\appcmd add apppool /name:MMDS-Notify /managedRuntimeVersion:v4.0 /managedPipelineMode:Integrated</v>
      </c>
    </row>
    <row r="11" spans="1:8" x14ac:dyDescent="0.3">
      <c r="A11" s="2" t="s">
        <v>76</v>
      </c>
      <c r="B11" s="2" t="s">
        <v>17</v>
      </c>
      <c r="C11" s="2" t="s">
        <v>18</v>
      </c>
      <c r="G11" s="4"/>
      <c r="H11" s="2" t="str">
        <f t="shared" si="0"/>
        <v>c:\Windows\system32\inetsrv\appcmd add apppool /name:MMDS-OCR /managedRuntimeVersion:v4.0 /managedPipelineMode:Integrated</v>
      </c>
    </row>
    <row r="12" spans="1:8" x14ac:dyDescent="0.3">
      <c r="A12" s="2" t="s">
        <v>77</v>
      </c>
      <c r="B12" s="2" t="s">
        <v>17</v>
      </c>
      <c r="C12" s="2" t="s">
        <v>18</v>
      </c>
      <c r="G12" s="4"/>
      <c r="H12" s="2" t="str">
        <f t="shared" si="0"/>
        <v>c:\Windows\system32\inetsrv\appcmd add apppool /name:MMDS-Portal /managedRuntimeVersion:v4.0 /managedPipelineMode:Integrated</v>
      </c>
    </row>
    <row r="13" spans="1:8" x14ac:dyDescent="0.3">
      <c r="A13" s="2" t="s">
        <v>78</v>
      </c>
      <c r="B13" s="2" t="s">
        <v>17</v>
      </c>
      <c r="C13" s="2" t="s">
        <v>18</v>
      </c>
      <c r="G13" s="4"/>
      <c r="H13" s="2" t="str">
        <f t="shared" si="0"/>
        <v>c:\Windows\system32\inetsrv\appcmd add apppool /name:MMDS-Web /managedRuntimeVersion:v4.0 /managedPipelineMode:Integrated</v>
      </c>
    </row>
    <row r="14" spans="1:8" x14ac:dyDescent="0.3">
      <c r="A14" s="2"/>
      <c r="B14" s="2"/>
      <c r="C14" s="2"/>
      <c r="G14" s="4"/>
      <c r="H14" s="2" t="str">
        <f>IF(A14="","","%systemroot%\system32\inetsrv\appcmd add apppool /name:"&amp;A14&amp;" /managedRuntimeVersion:"&amp;B14&amp;" /managedPipelineMode:"&amp;C14&amp;"")</f>
        <v/>
      </c>
    </row>
    <row r="15" spans="1:8" x14ac:dyDescent="0.3">
      <c r="A15" s="51" t="s">
        <v>19</v>
      </c>
      <c r="B15" s="52"/>
      <c r="C15" s="52"/>
      <c r="D15" s="52"/>
      <c r="E15" s="52"/>
      <c r="F15" s="53"/>
      <c r="G15" s="4"/>
      <c r="H15" s="1"/>
    </row>
    <row r="16" spans="1:8" x14ac:dyDescent="0.3">
      <c r="A16" s="1" t="s">
        <v>20</v>
      </c>
      <c r="B16" s="1" t="s">
        <v>21</v>
      </c>
      <c r="C16" s="1" t="s">
        <v>22</v>
      </c>
      <c r="D16" s="1" t="s">
        <v>23</v>
      </c>
      <c r="E16" s="1" t="s">
        <v>24</v>
      </c>
      <c r="F16" s="1" t="s">
        <v>14</v>
      </c>
      <c r="G16" s="4"/>
      <c r="H16" s="1"/>
    </row>
    <row r="17" spans="1:8" x14ac:dyDescent="0.3">
      <c r="A17" s="2" t="s">
        <v>69</v>
      </c>
      <c r="B17" s="2" t="s">
        <v>79</v>
      </c>
      <c r="C17" s="2" t="s">
        <v>25</v>
      </c>
      <c r="D17" s="2">
        <v>8090</v>
      </c>
      <c r="E17" s="2"/>
      <c r="F17" s="2" t="s">
        <v>69</v>
      </c>
      <c r="G17" s="4"/>
      <c r="H17" s="2" t="str">
        <f>IF(A17="","","c:\Windows\system32\inetsrv\appcmd add site /name:"&amp;A17&amp;" /physicalPath:"&amp;B17&amp;" /bindings:"&amp;C17&amp;"/*:"&amp;D17&amp;":"&amp;E17&amp;"" )</f>
        <v>c:\Windows\system32\inetsrv\appcmd add site /name:MMDS-ConfigAPI /physicalPath:"E:\SourceWeb\DAS-MMDS\ConfigAPI" /bindings:http/*:8090:</v>
      </c>
    </row>
    <row r="18" spans="1:8" x14ac:dyDescent="0.3">
      <c r="A18" s="2" t="s">
        <v>70</v>
      </c>
      <c r="B18" s="2" t="s">
        <v>80</v>
      </c>
      <c r="C18" s="2" t="s">
        <v>25</v>
      </c>
      <c r="D18" s="2">
        <v>8089</v>
      </c>
      <c r="E18" s="2"/>
      <c r="F18" s="2" t="s">
        <v>70</v>
      </c>
      <c r="G18" s="4"/>
      <c r="H18" s="2" t="str">
        <f t="shared" ref="H18:H26" si="1">IF(A18="","","c:\Windows\system32\inetsrv\appcmd add site /name:"&amp;A18&amp;" /physicalPath:"&amp;B18&amp;" /bindings:"&amp;C18&amp;"/*:"&amp;D18&amp;":"&amp;E18&amp;"" )</f>
        <v>c:\Windows\system32\inetsrv\appcmd add site /name:MMDS-File /physicalPath:"E:\SourceWeb\DAS-MMDS\File" /bindings:http/*:8089:</v>
      </c>
    </row>
    <row r="19" spans="1:8" x14ac:dyDescent="0.3">
      <c r="A19" s="2" t="s">
        <v>71</v>
      </c>
      <c r="B19" s="2" t="s">
        <v>81</v>
      </c>
      <c r="C19" s="2" t="s">
        <v>25</v>
      </c>
      <c r="D19" s="2">
        <v>8088</v>
      </c>
      <c r="E19" s="2"/>
      <c r="F19" s="2" t="s">
        <v>71</v>
      </c>
      <c r="G19" s="4"/>
      <c r="H19" s="2" t="str">
        <f t="shared" si="1"/>
        <v>c:\Windows\system32\inetsrv\appcmd add site /name:MMDS-Hangfire /physicalPath:"E:\SourceWeb\DAS-MMDS\Hangfire" /bindings:http/*:8088:</v>
      </c>
    </row>
    <row r="20" spans="1:8" x14ac:dyDescent="0.3">
      <c r="A20" s="2" t="s">
        <v>72</v>
      </c>
      <c r="B20" s="2" t="s">
        <v>82</v>
      </c>
      <c r="C20" s="2" t="s">
        <v>25</v>
      </c>
      <c r="D20" s="2">
        <v>8087</v>
      </c>
      <c r="E20" s="2"/>
      <c r="F20" s="2" t="s">
        <v>72</v>
      </c>
      <c r="G20" s="4"/>
      <c r="H20" s="2" t="str">
        <f t="shared" si="1"/>
        <v>c:\Windows\system32\inetsrv\appcmd add site /name:MMDS-Lgsp /physicalPath:"E:\SourceWeb\DAS-MMDS\Lgsp" /bindings:http/*:8087:</v>
      </c>
    </row>
    <row r="21" spans="1:8" x14ac:dyDescent="0.3">
      <c r="A21" s="2" t="s">
        <v>73</v>
      </c>
      <c r="B21" s="2" t="s">
        <v>83</v>
      </c>
      <c r="C21" s="2" t="s">
        <v>25</v>
      </c>
      <c r="D21" s="2">
        <v>8086</v>
      </c>
      <c r="E21" s="2"/>
      <c r="F21" s="2" t="s">
        <v>73</v>
      </c>
      <c r="G21" s="4"/>
      <c r="H21" s="2" t="str">
        <f t="shared" si="1"/>
        <v>c:\Windows\system32\inetsrv\appcmd add site /name:MMDS-Log /physicalPath:"E:\SourceWeb\DAS-MMDS\Log" /bindings:http/*:8086:</v>
      </c>
    </row>
    <row r="22" spans="1:8" x14ac:dyDescent="0.3">
      <c r="A22" s="2" t="s">
        <v>74</v>
      </c>
      <c r="B22" s="2" t="s">
        <v>84</v>
      </c>
      <c r="C22" s="2" t="s">
        <v>25</v>
      </c>
      <c r="D22" s="2">
        <v>8085</v>
      </c>
      <c r="E22" s="2"/>
      <c r="F22" s="2" t="s">
        <v>74</v>
      </c>
      <c r="G22" s="4"/>
      <c r="H22" s="2" t="str">
        <f t="shared" si="1"/>
        <v>c:\Windows\system32\inetsrv\appcmd add site /name:MMDS-Mobile /physicalPath:"E:\SourceWeb\DAS-MMDS\Mobile" /bindings:http/*:8085:</v>
      </c>
    </row>
    <row r="23" spans="1:8" x14ac:dyDescent="0.3">
      <c r="A23" s="2" t="s">
        <v>75</v>
      </c>
      <c r="B23" s="2" t="s">
        <v>85</v>
      </c>
      <c r="C23" s="2" t="s">
        <v>25</v>
      </c>
      <c r="D23" s="2">
        <v>8084</v>
      </c>
      <c r="E23" s="2"/>
      <c r="F23" s="2" t="s">
        <v>75</v>
      </c>
      <c r="G23" s="4"/>
      <c r="H23" s="2" t="str">
        <f t="shared" si="1"/>
        <v>c:\Windows\system32\inetsrv\appcmd add site /name:MMDS-Notify /physicalPath:"E:\SourceWeb\DAS-MMDS\Notify" /bindings:http/*:8084:</v>
      </c>
    </row>
    <row r="24" spans="1:8" x14ac:dyDescent="0.3">
      <c r="A24" s="2" t="s">
        <v>76</v>
      </c>
      <c r="B24" s="2" t="s">
        <v>86</v>
      </c>
      <c r="C24" s="2" t="s">
        <v>25</v>
      </c>
      <c r="D24" s="2">
        <v>8083</v>
      </c>
      <c r="E24" s="2"/>
      <c r="F24" s="2" t="s">
        <v>76</v>
      </c>
      <c r="G24" s="4"/>
      <c r="H24" s="2" t="str">
        <f t="shared" si="1"/>
        <v>c:\Windows\system32\inetsrv\appcmd add site /name:MMDS-OCR /physicalPath:"E:\SourceWeb\DAS-MMDS\OCR" /bindings:http/*:8083:</v>
      </c>
    </row>
    <row r="25" spans="1:8" x14ac:dyDescent="0.3">
      <c r="A25" s="2" t="s">
        <v>77</v>
      </c>
      <c r="B25" s="2" t="s">
        <v>87</v>
      </c>
      <c r="C25" s="2" t="s">
        <v>25</v>
      </c>
      <c r="D25" s="2">
        <v>8082</v>
      </c>
      <c r="E25" s="2"/>
      <c r="F25" s="2" t="s">
        <v>77</v>
      </c>
      <c r="G25" s="4"/>
      <c r="H25" s="2" t="str">
        <f t="shared" si="1"/>
        <v>c:\Windows\system32\inetsrv\appcmd add site /name:MMDS-Portal /physicalPath:"E:\SourceWeb\DAS-MMDS\Portal" /bindings:http/*:8082:</v>
      </c>
    </row>
    <row r="26" spans="1:8" x14ac:dyDescent="0.3">
      <c r="A26" s="2" t="s">
        <v>78</v>
      </c>
      <c r="B26" s="2" t="s">
        <v>88</v>
      </c>
      <c r="C26" s="2" t="s">
        <v>25</v>
      </c>
      <c r="D26" s="2">
        <v>8081</v>
      </c>
      <c r="E26" s="2"/>
      <c r="F26" s="2" t="s">
        <v>78</v>
      </c>
      <c r="G26" s="4"/>
      <c r="H26" s="2" t="str">
        <f t="shared" si="1"/>
        <v>c:\Windows\system32\inetsrv\appcmd add site /name:MMDS-Web /physicalPath:"E:\SourceWeb\DAS-MMDS\Web" /bindings:http/*:8081:</v>
      </c>
    </row>
    <row r="27" spans="1:8" x14ac:dyDescent="0.3">
      <c r="A27" s="2"/>
      <c r="B27" s="2"/>
      <c r="C27" s="2"/>
      <c r="G27" s="4"/>
      <c r="H27" s="2" t="str">
        <f>IF(A27="","","%systemroot%\system32\inetsrv\appcmd add app  /site.name:"&amp;B27&amp;" /path:/"&amp;A27&amp;" /physicalPath:"&amp;C27&amp;"")</f>
        <v/>
      </c>
    </row>
    <row r="28" spans="1:8" x14ac:dyDescent="0.3">
      <c r="A28" s="54" t="s">
        <v>89</v>
      </c>
      <c r="B28" s="54"/>
      <c r="C28" s="54"/>
      <c r="H28" s="1"/>
    </row>
    <row r="29" spans="1:8" x14ac:dyDescent="0.3">
      <c r="A29" s="1" t="s">
        <v>28</v>
      </c>
      <c r="B29" s="1"/>
      <c r="C29" s="1" t="s">
        <v>14</v>
      </c>
      <c r="H29" s="1"/>
    </row>
    <row r="30" spans="1:8" x14ac:dyDescent="0.3">
      <c r="A30" s="2" t="s">
        <v>69</v>
      </c>
      <c r="B30" s="2"/>
      <c r="C30" s="2" t="s">
        <v>69</v>
      </c>
      <c r="H30" s="2" t="str">
        <f>IF(C30="","","c:\Windows\system32\inetsrv\appcmd set app "&amp;A30&amp;"/  /"&amp;"applicationPool:"&amp;C30&amp;"")</f>
        <v>c:\Windows\system32\inetsrv\appcmd set app MMDS-ConfigAPI/  /applicationPool:MMDS-ConfigAPI</v>
      </c>
    </row>
    <row r="31" spans="1:8" x14ac:dyDescent="0.3">
      <c r="A31" s="2" t="s">
        <v>70</v>
      </c>
      <c r="B31" s="2"/>
      <c r="C31" s="2" t="s">
        <v>70</v>
      </c>
      <c r="H31" s="2" t="str">
        <f t="shared" ref="H31:H39" si="2">IF(C31="","","c:\Windows\system32\inetsrv\appcmd set app "&amp;A31&amp;"/  /"&amp;"applicationPool:"&amp;C31&amp;"")</f>
        <v>c:\Windows\system32\inetsrv\appcmd set app MMDS-File/  /applicationPool:MMDS-File</v>
      </c>
    </row>
    <row r="32" spans="1:8" x14ac:dyDescent="0.3">
      <c r="A32" s="2" t="s">
        <v>71</v>
      </c>
      <c r="B32" s="2"/>
      <c r="C32" s="2" t="s">
        <v>71</v>
      </c>
      <c r="H32" s="2" t="str">
        <f t="shared" si="2"/>
        <v>c:\Windows\system32\inetsrv\appcmd set app MMDS-Hangfire/  /applicationPool:MMDS-Hangfire</v>
      </c>
    </row>
    <row r="33" spans="1:8" x14ac:dyDescent="0.3">
      <c r="A33" s="2" t="s">
        <v>72</v>
      </c>
      <c r="B33" s="2"/>
      <c r="C33" s="2" t="s">
        <v>72</v>
      </c>
      <c r="H33" s="2" t="str">
        <f t="shared" si="2"/>
        <v>c:\Windows\system32\inetsrv\appcmd set app MMDS-Lgsp/  /applicationPool:MMDS-Lgsp</v>
      </c>
    </row>
    <row r="34" spans="1:8" x14ac:dyDescent="0.3">
      <c r="A34" s="2" t="s">
        <v>73</v>
      </c>
      <c r="B34" s="2"/>
      <c r="C34" s="2" t="s">
        <v>73</v>
      </c>
      <c r="H34" s="2" t="str">
        <f t="shared" si="2"/>
        <v>c:\Windows\system32\inetsrv\appcmd set app MMDS-Log/  /applicationPool:MMDS-Log</v>
      </c>
    </row>
    <row r="35" spans="1:8" x14ac:dyDescent="0.3">
      <c r="A35" s="2" t="s">
        <v>74</v>
      </c>
      <c r="B35" s="2"/>
      <c r="C35" s="2" t="s">
        <v>74</v>
      </c>
      <c r="H35" s="2" t="str">
        <f t="shared" si="2"/>
        <v>c:\Windows\system32\inetsrv\appcmd set app MMDS-Mobile/  /applicationPool:MMDS-Mobile</v>
      </c>
    </row>
    <row r="36" spans="1:8" x14ac:dyDescent="0.3">
      <c r="A36" s="2" t="s">
        <v>75</v>
      </c>
      <c r="B36" s="2"/>
      <c r="C36" s="2" t="s">
        <v>75</v>
      </c>
      <c r="H36" s="2" t="str">
        <f t="shared" si="2"/>
        <v>c:\Windows\system32\inetsrv\appcmd set app MMDS-Notify/  /applicationPool:MMDS-Notify</v>
      </c>
    </row>
    <row r="37" spans="1:8" x14ac:dyDescent="0.3">
      <c r="A37" s="2" t="s">
        <v>76</v>
      </c>
      <c r="B37" s="2"/>
      <c r="C37" s="2" t="s">
        <v>76</v>
      </c>
      <c r="H37" s="2" t="str">
        <f t="shared" si="2"/>
        <v>c:\Windows\system32\inetsrv\appcmd set app MMDS-OCR/  /applicationPool:MMDS-OCR</v>
      </c>
    </row>
    <row r="38" spans="1:8" x14ac:dyDescent="0.3">
      <c r="A38" s="2" t="s">
        <v>77</v>
      </c>
      <c r="B38" s="2"/>
      <c r="C38" s="2" t="s">
        <v>77</v>
      </c>
      <c r="H38" s="2" t="str">
        <f t="shared" si="2"/>
        <v>c:\Windows\system32\inetsrv\appcmd set app MMDS-Portal/  /applicationPool:MMDS-Portal</v>
      </c>
    </row>
    <row r="39" spans="1:8" x14ac:dyDescent="0.3">
      <c r="A39" s="2" t="s">
        <v>78</v>
      </c>
      <c r="B39" s="2"/>
      <c r="C39" s="2" t="s">
        <v>78</v>
      </c>
      <c r="H39" s="2" t="str">
        <f t="shared" si="2"/>
        <v>c:\Windows\system32\inetsrv\appcmd set app MMDS-Web/  /applicationPool:MMDS-Web</v>
      </c>
    </row>
  </sheetData>
  <mergeCells count="3">
    <mergeCell ref="A15:F15"/>
    <mergeCell ref="A28:C28"/>
    <mergeCell ref="A2:C2"/>
  </mergeCells>
  <dataValidations count="4">
    <dataValidation type="list" allowBlank="1" showInputMessage="1" showErrorMessage="1" sqref="C1463:C1048576 C3:C14" xr:uid="{00000000-0002-0000-0300-000000000000}">
      <formula1>"Integrated,Classic"</formula1>
    </dataValidation>
    <dataValidation type="list" allowBlank="1" showInputMessage="1" showErrorMessage="1" sqref="G439:G1048576 C15:C26 G15:G27" xr:uid="{00000000-0002-0000-0300-000001000000}">
      <formula1>"http,https"</formula1>
    </dataValidation>
    <dataValidation type="list" allowBlank="1" showInputMessage="1" showErrorMessage="1" sqref="C29 H439:H1048576 M439:M1048576 H15:H16 E4:E14 H3 H28:H29 M1:M27 I28:I438" xr:uid="{00000000-0002-0000-0300-000002000000}">
      <formula1>$A$4:$A$14</formula1>
    </dataValidation>
    <dataValidation type="list" allowBlank="1" showInputMessage="1" showErrorMessage="1" sqref="K439:K1048576 G2:G3 B27 K1:K27 G28:G438" xr:uid="{00000000-0002-0000-0300-000003000000}">
      <formula1>$E$4:$E$14</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FE9C0C8E574444875F1CBBF8414DDA" ma:contentTypeVersion="16" ma:contentTypeDescription="Create a new document." ma:contentTypeScope="" ma:versionID="c7e0992f45b677c2156c5ab52d17057f">
  <xsd:schema xmlns:xsd="http://www.w3.org/2001/XMLSchema" xmlns:xs="http://www.w3.org/2001/XMLSchema" xmlns:p="http://schemas.microsoft.com/office/2006/metadata/properties" xmlns:ns2="97d068c0-5bfb-413b-9996-819e39fdf128" xmlns:ns3="2c7f0914-2907-4374-a90b-da4fc7d9e6d0" targetNamespace="http://schemas.microsoft.com/office/2006/metadata/properties" ma:root="true" ma:fieldsID="2f06a3ea3329379ac3c4a4f5da7fed49" ns2:_="" ns3:_="">
    <xsd:import namespace="97d068c0-5bfb-413b-9996-819e39fdf128"/>
    <xsd:import namespace="2c7f0914-2907-4374-a90b-da4fc7d9e6d0"/>
    <xsd:element name="properties">
      <xsd:complexType>
        <xsd:sequence>
          <xsd:element name="documentManagement">
            <xsd:complexType>
              <xsd:all>
                <xsd:element ref="ns2:Ghich_x00fa_" minOccurs="0"/>
                <xsd:element ref="ns3:SharedWithUsers" minOccurs="0"/>
                <xsd:element ref="ns3:SharedWithDetails"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d068c0-5bfb-413b-9996-819e39fdf128" elementFormDefault="qualified">
    <xsd:import namespace="http://schemas.microsoft.com/office/2006/documentManagement/types"/>
    <xsd:import namespace="http://schemas.microsoft.com/office/infopath/2007/PartnerControls"/>
    <xsd:element name="Ghich_x00fa_" ma:index="1" nillable="true" ma:displayName="Ghi chú" ma:format="Dropdown" ma:internalName="Ghich_x00fa_" ma:readOnly="false">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8db3443-7ddf-4447-a200-4fd29f87c55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c7f0914-2907-4374-a90b-da4fc7d9e6d0" elementFormDefault="qualified">
    <xsd:import namespace="http://schemas.microsoft.com/office/2006/documentManagement/types"/>
    <xsd:import namespace="http://schemas.microsoft.com/office/infopath/2007/PartnerControls"/>
    <xsd:element name="SharedWithUsers" ma:index="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hidden="true" ma:internalName="SharedWithDetails" ma:readOnly="true">
      <xsd:simpleType>
        <xsd:restriction base="dms:Note"/>
      </xsd:simpleType>
    </xsd:element>
    <xsd:element name="TaxCatchAll" ma:index="17" nillable="true" ma:displayName="Taxonomy Catch All Column" ma:hidden="true" ma:list="{4fb41ebb-0245-4b0c-8a71-bce098a42d95}" ma:internalName="TaxCatchAll" ma:showField="CatchAllData" ma:web="2c7f0914-2907-4374-a90b-da4fc7d9e6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Ghich_x00fa_ xmlns="97d068c0-5bfb-413b-9996-819e39fdf128" xsi:nil="true"/>
    <TaxCatchAll xmlns="2c7f0914-2907-4374-a90b-da4fc7d9e6d0" xsi:nil="true"/>
    <lcf76f155ced4ddcb4097134ff3c332f xmlns="97d068c0-5bfb-413b-9996-819e39fdf12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E3A15DF-6B1B-40AC-992D-CB264AF46D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d068c0-5bfb-413b-9996-819e39fdf128"/>
    <ds:schemaRef ds:uri="2c7f0914-2907-4374-a90b-da4fc7d9e6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8505A6-C0ED-439D-B023-AA9B1B1662BB}">
  <ds:schemaRefs>
    <ds:schemaRef ds:uri="http://schemas.microsoft.com/office/2006/metadata/properties"/>
    <ds:schemaRef ds:uri="http://schemas.microsoft.com/office/infopath/2007/PartnerControls"/>
    <ds:schemaRef ds:uri="97d068c0-5bfb-413b-9996-819e39fdf128"/>
    <ds:schemaRef ds:uri="2c7f0914-2907-4374-a90b-da4fc7d9e6d0"/>
  </ds:schemaRefs>
</ds:datastoreItem>
</file>

<file path=customXml/itemProps3.xml><?xml version="1.0" encoding="utf-8"?>
<ds:datastoreItem xmlns:ds="http://schemas.openxmlformats.org/officeDocument/2006/customXml" ds:itemID="{1FDEE16B-9D1D-4FD0-B127-E14D995BDF2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Cài đặt IIS</vt:lpstr>
      <vt:lpstr>Cài đặt SQL</vt:lpstr>
      <vt:lpstr>Cài đặt service</vt:lpstr>
      <vt:lpstr>Thông tin AX-DMS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thispc</dc:creator>
  <cp:keywords/>
  <dc:description/>
  <cp:lastModifiedBy>Nguyen Ba Quoc Cuong</cp:lastModifiedBy>
  <cp:revision/>
  <dcterms:created xsi:type="dcterms:W3CDTF">2024-07-11T03:23:00Z</dcterms:created>
  <dcterms:modified xsi:type="dcterms:W3CDTF">2026-06-16T08:23:21Z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0x01010097FE9C0C8E574444875F1CBBF8414DDA</vt:lpwstr>
  </property>
  <property fmtid="{D5CDD505-2E9C-101B-9397-08002B2CF9AE}" pid="3" name="MediaServiceImageTags">
    <vt:lpwstr/>
  </property>
</Properties>
</file>